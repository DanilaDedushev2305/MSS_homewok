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edus\OneDrive\Рабочий стол\"/>
    </mc:Choice>
  </mc:AlternateContent>
  <bookViews>
    <workbookView xWindow="0" yWindow="0" windowWidth="28800" windowHeight="1248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" i="1" l="1"/>
  <c r="K23" i="1" l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J23" i="1"/>
  <c r="AM20" i="1" l="1"/>
  <c r="K22" i="1" l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J22" i="1"/>
  <c r="C5" i="1"/>
  <c r="J19" i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J19" i="1" s="1"/>
  <c r="AK19" i="1" s="1"/>
  <c r="AL19" i="1" s="1"/>
  <c r="AM19" i="1" s="1"/>
  <c r="C4" i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<sst xmlns="http://schemas.openxmlformats.org/spreadsheetml/2006/main" count="13" uniqueCount="12">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</sst>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Лист1!$I$19:$AM$19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Лист1!$I$20:$AM$20</c:f>
              <c:numCache>
                <c:formatCode>General</c:formatCode>
                <c:ptCount val="31"/>
                <c:pt idx="0">
                  <c:v>299.88057406421348</c:v>
                </c:pt>
                <c:pt idx="1">
                  <c:v>293.21390739754679</c:v>
                </c:pt>
                <c:pt idx="2">
                  <c:v>286.54757925667036</c:v>
                </c:pt>
                <c:pt idx="3">
                  <c:v>279.88158868199594</c:v>
                </c:pt>
                <c:pt idx="4">
                  <c:v>273.21593375706743</c:v>
                </c:pt>
                <c:pt idx="5">
                  <c:v>266.55061161399277</c:v>
                </c:pt>
                <c:pt idx="6">
                  <c:v>259.88561844157402</c:v>
                </c:pt>
                <c:pt idx="7">
                  <c:v>253.22094949610963</c:v>
                </c:pt>
                <c:pt idx="8">
                  <c:v>246.55659911484213</c:v>
                </c:pt>
                <c:pt idx="9">
                  <c:v>239.89256073200858</c:v>
                </c:pt>
                <c:pt idx="10">
                  <c:v>233.22882689745319</c:v>
                </c:pt>
                <c:pt idx="11">
                  <c:v>226.56538929774439</c:v>
                </c:pt>
                <c:pt idx="12">
                  <c:v>219.90223877974142</c:v>
                </c:pt>
                <c:pt idx="13">
                  <c:v>213.2393653765385</c:v>
                </c:pt>
                <c:pt idx="14">
                  <c:v>206.57675833571858</c:v>
                </c:pt>
                <c:pt idx="15">
                  <c:v>199.9144061498308</c:v>
                </c:pt>
                <c:pt idx="16">
                  <c:v>193.25229658901094</c:v>
                </c:pt>
                <c:pt idx="17">
                  <c:v>186.5904167356471</c:v>
                </c:pt>
                <c:pt idx="18">
                  <c:v>179.92875302099711</c:v>
                </c:pt>
                <c:pt idx="19">
                  <c:v>173.26729126364975</c:v>
                </c:pt>
                <c:pt idx="20">
                  <c:v>166.60601670972426</c:v>
                </c:pt>
                <c:pt idx="21">
                  <c:v>159.94491407469098</c:v>
                </c:pt>
                <c:pt idx="22">
                  <c:v>153.28396758669803</c:v>
                </c:pt>
                <c:pt idx="23">
                  <c:v>146.62316103127719</c:v>
                </c:pt>
                <c:pt idx="24">
                  <c:v>139.96247779730675</c:v>
                </c:pt>
                <c:pt idx="25">
                  <c:v>133.30190092409634</c:v>
                </c:pt>
                <c:pt idx="26">
                  <c:v>126.64141314946507</c:v>
                </c:pt>
                <c:pt idx="27">
                  <c:v>119.98099695867194</c:v>
                </c:pt>
                <c:pt idx="28">
                  <c:v>113.32063463406409</c:v>
                </c:pt>
                <c:pt idx="29">
                  <c:v>106.66030830529898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5-4C41-B771-600881FF3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819888"/>
        <c:axId val="460817920"/>
      </c:scatterChart>
      <c:valAx>
        <c:axId val="46081988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817920"/>
        <c:crosses val="autoZero"/>
        <c:crossBetween val="midCat"/>
      </c:valAx>
      <c:valAx>
        <c:axId val="460817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81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519546</xdr:colOff>
      <xdr:row>23</xdr:row>
      <xdr:rowOff>57151</xdr:rowOff>
    </xdr:from>
    <xdr:to>
      <xdr:col>16</xdr:col>
      <xdr:colOff>372342</xdr:colOff>
      <xdr:row>46</xdr:row>
      <xdr:rowOff>69272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590549</xdr:colOff>
      <xdr:row>23</xdr:row>
      <xdr:rowOff>71005</xdr:rowOff>
    </xdr:from>
    <xdr:ext cx="422564" cy="4052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4262004" y="4452505"/>
              <a:ext cx="422564" cy="4052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4262004" y="4452505"/>
              <a:ext cx="422564" cy="4052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𝑡,(𝑐)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15</xdr:col>
      <xdr:colOff>346362</xdr:colOff>
      <xdr:row>44</xdr:row>
      <xdr:rowOff>95250</xdr:rowOff>
    </xdr:from>
    <xdr:ext cx="422564" cy="3290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113567" y="8477250"/>
              <a:ext cx="422564" cy="3290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r>
                <a:rPr lang="en-US" sz="1400" b="0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113567" y="8477250"/>
              <a:ext cx="422564" cy="32904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:r>
                <a:rPr lang="en-US" sz="1400" b="0" i="0">
                  <a:latin typeface="+mn-lt"/>
                </a:rPr>
                <a:t>L</a:t>
              </a:r>
              <a:r>
                <a:rPr lang="en-US" sz="1400" b="0" i="0">
                  <a:latin typeface="Cambria Math" panose="02040503050406030204" pitchFamily="18" charset="0"/>
                </a:rPr>
                <a:t>,(𝑚)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M23"/>
  <sheetViews>
    <sheetView tabSelected="1" zoomScale="90" zoomScaleNormal="90" workbookViewId="0">
      <selection activeCell="J20" sqref="J20:AL20"/>
    </sheetView>
  </sheetViews>
  <sheetFormatPr defaultRowHeight="15" x14ac:dyDescent="0.25"/>
  <cols>
    <col min="3" max="3" width="9.5703125" bestFit="1" customWidth="1"/>
    <col min="7" max="7" width="9" customWidth="1"/>
    <col min="8" max="8" width="6.140625" bestFit="1" customWidth="1"/>
    <col min="9" max="39" width="6.5703125" bestFit="1" customWidth="1"/>
  </cols>
  <sheetData>
    <row r="3" spans="1:4" x14ac:dyDescent="0.25">
      <c r="B3" t="s">
        <v>0</v>
      </c>
      <c r="C3">
        <v>0.1</v>
      </c>
    </row>
    <row r="4" spans="1:4" x14ac:dyDescent="0.25">
      <c r="B4" s="2" t="s">
        <v>1</v>
      </c>
      <c r="C4" s="5">
        <f>C3/30</f>
        <v>3.3333333333333335E-3</v>
      </c>
    </row>
    <row r="5" spans="1:4" x14ac:dyDescent="0.25">
      <c r="B5" s="2" t="s">
        <v>2</v>
      </c>
      <c r="C5" s="5">
        <f>(C9*C8*C4^2)/(2*C10)</f>
        <v>0.4333333333333334</v>
      </c>
    </row>
    <row r="6" spans="1:4" x14ac:dyDescent="0.25">
      <c r="B6" s="2" t="s">
        <v>3</v>
      </c>
      <c r="C6" s="2">
        <v>5000</v>
      </c>
      <c r="D6">
        <v>5000.4333333333334</v>
      </c>
    </row>
    <row r="7" spans="1:4" x14ac:dyDescent="0.25">
      <c r="A7" s="6"/>
      <c r="B7" s="6"/>
      <c r="C7" s="6"/>
      <c r="D7" s="6"/>
    </row>
    <row r="8" spans="1:4" x14ac:dyDescent="0.25">
      <c r="B8" s="2" t="s">
        <v>4</v>
      </c>
      <c r="C8" s="2">
        <v>460</v>
      </c>
    </row>
    <row r="9" spans="1:4" x14ac:dyDescent="0.25">
      <c r="B9" s="2" t="s">
        <v>5</v>
      </c>
      <c r="C9" s="2">
        <v>7800</v>
      </c>
    </row>
    <row r="10" spans="1:4" x14ac:dyDescent="0.25">
      <c r="B10" s="2" t="s">
        <v>6</v>
      </c>
      <c r="C10" s="2">
        <v>46</v>
      </c>
    </row>
    <row r="11" spans="1:4" x14ac:dyDescent="0.25">
      <c r="A11" s="6"/>
      <c r="B11" s="6"/>
      <c r="C11" s="6"/>
      <c r="D11" s="6"/>
    </row>
    <row r="12" spans="1:4" x14ac:dyDescent="0.25">
      <c r="A12" s="6"/>
      <c r="B12" s="6"/>
      <c r="C12" s="6"/>
      <c r="D12" s="6"/>
    </row>
    <row r="13" spans="1:4" x14ac:dyDescent="0.25">
      <c r="A13" s="6"/>
      <c r="B13" s="6"/>
      <c r="C13" s="6"/>
      <c r="D13" s="6"/>
    </row>
    <row r="14" spans="1:4" x14ac:dyDescent="0.25">
      <c r="A14" s="6"/>
      <c r="B14" s="6"/>
      <c r="C14" s="6"/>
      <c r="D14" s="6"/>
    </row>
    <row r="15" spans="1:4" x14ac:dyDescent="0.25">
      <c r="A15" s="6"/>
      <c r="B15" s="6"/>
      <c r="C15" s="6"/>
      <c r="D15" s="6"/>
    </row>
    <row r="16" spans="1:4" x14ac:dyDescent="0.25">
      <c r="A16" s="6"/>
      <c r="B16" s="6"/>
      <c r="C16" s="6"/>
      <c r="D16" s="6"/>
    </row>
    <row r="17" spans="1:39" x14ac:dyDescent="0.25">
      <c r="A17" s="6"/>
      <c r="B17" s="6"/>
      <c r="C17" s="6"/>
      <c r="D17" s="6"/>
    </row>
    <row r="18" spans="1:39" x14ac:dyDescent="0.25">
      <c r="A18" s="6"/>
      <c r="B18" s="6"/>
      <c r="C18" s="6"/>
      <c r="D18" s="6"/>
      <c r="H18" s="2"/>
      <c r="I18" s="3">
        <v>1</v>
      </c>
      <c r="J18" s="3">
        <v>2</v>
      </c>
      <c r="K18" s="3">
        <v>3</v>
      </c>
      <c r="L18" s="3">
        <v>4</v>
      </c>
      <c r="M18" s="3">
        <v>5</v>
      </c>
      <c r="N18" s="3">
        <v>6</v>
      </c>
      <c r="O18" s="3">
        <v>7</v>
      </c>
      <c r="P18" s="3">
        <v>8</v>
      </c>
      <c r="Q18" s="3">
        <v>9</v>
      </c>
      <c r="R18" s="3">
        <v>10</v>
      </c>
      <c r="S18" s="3">
        <v>11</v>
      </c>
      <c r="T18" s="3">
        <v>12</v>
      </c>
      <c r="U18" s="3">
        <v>13</v>
      </c>
      <c r="V18" s="3">
        <v>14</v>
      </c>
      <c r="W18" s="3">
        <v>15</v>
      </c>
      <c r="X18" s="3">
        <v>16</v>
      </c>
      <c r="Y18" s="3">
        <v>17</v>
      </c>
      <c r="Z18" s="3">
        <v>18</v>
      </c>
      <c r="AA18" s="3">
        <v>19</v>
      </c>
      <c r="AB18" s="3">
        <v>20</v>
      </c>
      <c r="AC18" s="3">
        <v>21</v>
      </c>
      <c r="AD18" s="3">
        <v>22</v>
      </c>
      <c r="AE18" s="3">
        <v>23</v>
      </c>
      <c r="AF18" s="3">
        <v>24</v>
      </c>
      <c r="AG18" s="3">
        <v>25</v>
      </c>
      <c r="AH18" s="3">
        <v>26</v>
      </c>
      <c r="AI18" s="3">
        <v>27</v>
      </c>
      <c r="AJ18" s="3">
        <v>28</v>
      </c>
      <c r="AK18" s="3">
        <v>29</v>
      </c>
      <c r="AL18" s="3">
        <v>30</v>
      </c>
      <c r="AM18" s="3">
        <v>31</v>
      </c>
    </row>
    <row r="19" spans="1:39" x14ac:dyDescent="0.25">
      <c r="B19" s="2" t="s">
        <v>8</v>
      </c>
      <c r="C19" s="2">
        <v>9200</v>
      </c>
      <c r="H19" s="2" t="s">
        <v>0</v>
      </c>
      <c r="I19" s="4">
        <v>0</v>
      </c>
      <c r="J19" s="4">
        <f>I19+$C$4</f>
        <v>3.3333333333333335E-3</v>
      </c>
      <c r="K19" s="4">
        <f t="shared" ref="K19:AM19" si="0">J19+$C$4</f>
        <v>6.6666666666666671E-3</v>
      </c>
      <c r="L19" s="4">
        <f t="shared" si="0"/>
        <v>0.01</v>
      </c>
      <c r="M19" s="4">
        <f t="shared" si="0"/>
        <v>1.3333333333333334E-2</v>
      </c>
      <c r="N19" s="4">
        <f t="shared" si="0"/>
        <v>1.6666666666666666E-2</v>
      </c>
      <c r="O19" s="4">
        <f t="shared" si="0"/>
        <v>0.02</v>
      </c>
      <c r="P19" s="4">
        <f t="shared" si="0"/>
        <v>2.3333333333333334E-2</v>
      </c>
      <c r="Q19" s="4">
        <f t="shared" si="0"/>
        <v>2.6666666666666668E-2</v>
      </c>
      <c r="R19" s="4">
        <f t="shared" si="0"/>
        <v>3.0000000000000002E-2</v>
      </c>
      <c r="S19" s="4">
        <f t="shared" si="0"/>
        <v>3.3333333333333333E-2</v>
      </c>
      <c r="T19" s="4">
        <f t="shared" si="0"/>
        <v>3.6666666666666667E-2</v>
      </c>
      <c r="U19" s="4">
        <f t="shared" si="0"/>
        <v>0.04</v>
      </c>
      <c r="V19" s="4">
        <f t="shared" si="0"/>
        <v>4.3333333333333335E-2</v>
      </c>
      <c r="W19" s="4">
        <f t="shared" si="0"/>
        <v>4.6666666666666669E-2</v>
      </c>
      <c r="X19" s="4">
        <f t="shared" si="0"/>
        <v>0.05</v>
      </c>
      <c r="Y19" s="4">
        <f t="shared" si="0"/>
        <v>5.3333333333333337E-2</v>
      </c>
      <c r="Z19" s="4">
        <f t="shared" si="0"/>
        <v>5.6666666666666671E-2</v>
      </c>
      <c r="AA19" s="4">
        <f t="shared" si="0"/>
        <v>6.0000000000000005E-2</v>
      </c>
      <c r="AB19" s="4">
        <f t="shared" si="0"/>
        <v>6.3333333333333339E-2</v>
      </c>
      <c r="AC19" s="4">
        <f t="shared" si="0"/>
        <v>6.6666666666666666E-2</v>
      </c>
      <c r="AD19" s="4">
        <f t="shared" si="0"/>
        <v>6.9999999999999993E-2</v>
      </c>
      <c r="AE19" s="4">
        <f t="shared" si="0"/>
        <v>7.333333333333332E-2</v>
      </c>
      <c r="AF19" s="4">
        <f t="shared" si="0"/>
        <v>7.6666666666666647E-2</v>
      </c>
      <c r="AG19" s="4">
        <f t="shared" si="0"/>
        <v>7.9999999999999974E-2</v>
      </c>
      <c r="AH19" s="4">
        <f t="shared" si="0"/>
        <v>8.3333333333333301E-2</v>
      </c>
      <c r="AI19" s="4">
        <f t="shared" si="0"/>
        <v>8.6666666666666628E-2</v>
      </c>
      <c r="AJ19" s="4">
        <f t="shared" si="0"/>
        <v>8.9999999999999955E-2</v>
      </c>
      <c r="AK19" s="4">
        <f t="shared" si="0"/>
        <v>9.3333333333333282E-2</v>
      </c>
      <c r="AL19" s="4">
        <f t="shared" si="0"/>
        <v>9.6666666666666609E-2</v>
      </c>
      <c r="AM19" s="4">
        <f t="shared" si="0"/>
        <v>9.9999999999999936E-2</v>
      </c>
    </row>
    <row r="20" spans="1:39" x14ac:dyDescent="0.25">
      <c r="B20" s="2" t="s">
        <v>9</v>
      </c>
      <c r="C20" s="2">
        <v>100</v>
      </c>
      <c r="H20" t="s">
        <v>7</v>
      </c>
      <c r="I20" s="1">
        <f>(I23/C10)*C4+J20</f>
        <v>299.88057406421348</v>
      </c>
      <c r="J20" s="1">
        <v>293.21390739754679</v>
      </c>
      <c r="K20" s="1">
        <v>286.54757925667036</v>
      </c>
      <c r="L20" s="1">
        <v>279.88158868199594</v>
      </c>
      <c r="M20" s="1">
        <v>273.21593375706743</v>
      </c>
      <c r="N20" s="1">
        <v>266.55061161399277</v>
      </c>
      <c r="O20" s="1">
        <v>259.88561844157402</v>
      </c>
      <c r="P20" s="1">
        <v>253.22094949610963</v>
      </c>
      <c r="Q20" s="1">
        <v>246.55659911484213</v>
      </c>
      <c r="R20" s="1">
        <v>239.89256073200858</v>
      </c>
      <c r="S20" s="1">
        <v>233.22882689745319</v>
      </c>
      <c r="T20" s="1">
        <v>226.56538929774439</v>
      </c>
      <c r="U20" s="1">
        <v>219.90223877974142</v>
      </c>
      <c r="V20" s="1">
        <v>213.2393653765385</v>
      </c>
      <c r="W20" s="1">
        <v>206.57675833571858</v>
      </c>
      <c r="X20" s="1">
        <v>199.9144061498308</v>
      </c>
      <c r="Y20" s="1">
        <v>193.25229658901094</v>
      </c>
      <c r="Z20" s="1">
        <v>186.5904167356471</v>
      </c>
      <c r="AA20" s="1">
        <v>179.92875302099711</v>
      </c>
      <c r="AB20" s="1">
        <v>173.26729126364975</v>
      </c>
      <c r="AC20" s="1">
        <v>166.60601670972426</v>
      </c>
      <c r="AD20" s="1">
        <v>159.94491407469098</v>
      </c>
      <c r="AE20" s="1">
        <v>153.28396758669803</v>
      </c>
      <c r="AF20" s="1">
        <v>146.62316103127719</v>
      </c>
      <c r="AG20" s="1">
        <v>139.96247779730675</v>
      </c>
      <c r="AH20" s="1">
        <v>133.30190092409634</v>
      </c>
      <c r="AI20" s="1">
        <v>126.64141314946507</v>
      </c>
      <c r="AJ20" s="1">
        <v>119.98099695867194</v>
      </c>
      <c r="AK20" s="1">
        <v>113.32063463406409</v>
      </c>
      <c r="AL20" s="1">
        <v>106.66030830529898</v>
      </c>
      <c r="AM20" s="1">
        <f>C20</f>
        <v>100</v>
      </c>
    </row>
    <row r="22" spans="1:39" x14ac:dyDescent="0.25">
      <c r="H22" t="s">
        <v>10</v>
      </c>
      <c r="J22" s="1">
        <f>J20+(($C$10*$C$5)/($C$9*$C$8))*((K20-2*J20+I20)/($C$4^2))</f>
        <v>293.21407666044195</v>
      </c>
      <c r="K22" s="1">
        <f t="shared" ref="K22:AL22" si="1">K20+(($C$10*$C$5)/($C$9*$C$8))*((L20-2*K20+J20)/($C$4^2))</f>
        <v>286.54774803977136</v>
      </c>
      <c r="L22" s="1">
        <f t="shared" si="1"/>
        <v>279.8817565068689</v>
      </c>
      <c r="M22" s="1">
        <f t="shared" si="1"/>
        <v>273.21610014799433</v>
      </c>
      <c r="N22" s="1">
        <f t="shared" si="1"/>
        <v>266.55077609932073</v>
      </c>
      <c r="O22" s="1">
        <f t="shared" si="1"/>
        <v>259.88578055505116</v>
      </c>
      <c r="P22" s="1">
        <f t="shared" si="1"/>
        <v>253.22110877820808</v>
      </c>
      <c r="Q22" s="1">
        <f t="shared" si="1"/>
        <v>246.55675511405911</v>
      </c>
      <c r="R22" s="1">
        <f t="shared" si="1"/>
        <v>239.89271300614766</v>
      </c>
      <c r="S22" s="1">
        <f t="shared" si="1"/>
        <v>233.22897501487648</v>
      </c>
      <c r="T22" s="1">
        <f t="shared" si="1"/>
        <v>226.56553283859731</v>
      </c>
      <c r="U22" s="1">
        <f t="shared" si="1"/>
        <v>219.90237733714144</v>
      </c>
      <c r="V22" s="1">
        <f t="shared" si="1"/>
        <v>213.23949855773</v>
      </c>
      <c r="W22" s="1">
        <f t="shared" si="1"/>
        <v>206.57688576318463</v>
      </c>
      <c r="X22" s="1">
        <f t="shared" si="1"/>
        <v>199.91452746236476</v>
      </c>
      <c r="Y22" s="1">
        <f t="shared" si="1"/>
        <v>193.25241144273895</v>
      </c>
      <c r="Z22" s="1">
        <f t="shared" si="1"/>
        <v>186.59052480500401</v>
      </c>
      <c r="AA22" s="1">
        <f t="shared" si="1"/>
        <v>179.92885399964842</v>
      </c>
      <c r="AB22" s="1">
        <f t="shared" si="1"/>
        <v>173.26738486536067</v>
      </c>
      <c r="AC22" s="1">
        <f t="shared" si="1"/>
        <v>166.60610266917035</v>
      </c>
      <c r="AD22" s="1">
        <f t="shared" si="1"/>
        <v>159.94499214821116</v>
      </c>
      <c r="AE22" s="1">
        <f t="shared" si="1"/>
        <v>153.2840375529841</v>
      </c>
      <c r="AF22" s="1">
        <f t="shared" si="1"/>
        <v>146.6232226920024</v>
      </c>
      <c r="AG22" s="1">
        <f t="shared" si="1"/>
        <v>139.96253097768675</v>
      </c>
      <c r="AH22" s="1">
        <f t="shared" si="1"/>
        <v>133.3019454733859</v>
      </c>
      <c r="AI22" s="1">
        <f t="shared" si="1"/>
        <v>126.64144894138414</v>
      </c>
      <c r="AJ22" s="1">
        <f t="shared" si="1"/>
        <v>119.98102389176458</v>
      </c>
      <c r="AK22" s="1">
        <f t="shared" si="1"/>
        <v>113.32065263198547</v>
      </c>
      <c r="AL22" s="1">
        <f t="shared" si="1"/>
        <v>106.66031731703205</v>
      </c>
    </row>
    <row r="23" spans="1:39" x14ac:dyDescent="0.25">
      <c r="H23" t="s">
        <v>11</v>
      </c>
      <c r="I23">
        <v>92000</v>
      </c>
      <c r="J23">
        <f>-$C$10*((J20-I20)/$C$4)</f>
        <v>92000.000000000247</v>
      </c>
      <c r="K23">
        <f t="shared" ref="K23:AL23" si="2">$C$10*((K20-J20)/$C$4)</f>
        <v>-91995.328344094727</v>
      </c>
      <c r="L23">
        <f t="shared" si="2"/>
        <v>-91990.669930507051</v>
      </c>
      <c r="M23">
        <f t="shared" si="2"/>
        <v>-91986.037964013332</v>
      </c>
      <c r="N23">
        <f t="shared" si="2"/>
        <v>-91981.445574430312</v>
      </c>
      <c r="O23">
        <f t="shared" si="2"/>
        <v>-91976.905779378692</v>
      </c>
      <c r="P23">
        <f t="shared" si="2"/>
        <v>-91972.4314474087</v>
      </c>
      <c r="Q23">
        <f t="shared" si="2"/>
        <v>-91968.035261491445</v>
      </c>
      <c r="R23">
        <f t="shared" si="2"/>
        <v>-91963.729683103025</v>
      </c>
      <c r="S23">
        <f t="shared" si="2"/>
        <v>-91959.526916864328</v>
      </c>
      <c r="T23">
        <f t="shared" si="2"/>
        <v>-91955.438875981432</v>
      </c>
      <c r="U23">
        <f t="shared" si="2"/>
        <v>-91951.477148440899</v>
      </c>
      <c r="V23">
        <f t="shared" si="2"/>
        <v>-91947.65296420033</v>
      </c>
      <c r="W23">
        <f t="shared" si="2"/>
        <v>-91943.977163314907</v>
      </c>
      <c r="X23">
        <f t="shared" si="2"/>
        <v>-91940.46016525141</v>
      </c>
      <c r="Y23">
        <f t="shared" si="2"/>
        <v>-91937.111939314025</v>
      </c>
      <c r="Z23">
        <f t="shared" si="2"/>
        <v>-91933.941976421018</v>
      </c>
      <c r="AA23">
        <f t="shared" si="2"/>
        <v>-91930.959262169854</v>
      </c>
      <c r="AB23">
        <f t="shared" si="2"/>
        <v>-91928.172251393466</v>
      </c>
      <c r="AC23">
        <f t="shared" si="2"/>
        <v>-91925.588844171813</v>
      </c>
      <c r="AD23">
        <f t="shared" si="2"/>
        <v>-91923.216363459171</v>
      </c>
      <c r="AE23">
        <f t="shared" si="2"/>
        <v>-91921.061534302833</v>
      </c>
      <c r="AF23">
        <f t="shared" si="2"/>
        <v>-91919.130464807502</v>
      </c>
      <c r="AG23">
        <f t="shared" si="2"/>
        <v>-91917.428628792142</v>
      </c>
      <c r="AH23">
        <f t="shared" si="2"/>
        <v>-91915.960850303542</v>
      </c>
      <c r="AI23">
        <f t="shared" si="2"/>
        <v>-91914.731289911637</v>
      </c>
      <c r="AJ23">
        <f t="shared" si="2"/>
        <v>-91913.743432945164</v>
      </c>
      <c r="AK23">
        <f t="shared" si="2"/>
        <v>-91913.000079588266</v>
      </c>
      <c r="AL23">
        <f t="shared" si="2"/>
        <v>-91912.503336958485</v>
      </c>
    </row>
  </sheetData>
  <conditionalFormatting sqref="I20:AM20"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Данила Дедушев</dc:creator>
  <cp:lastModifiedBy>Данила Дедушев</cp:lastModifiedBy>
  <dcterms:created xsi:type="dcterms:W3CDTF">2021-09-15T09:15:42Z</dcterms:created>
  <dcterms:modified xsi:type="dcterms:W3CDTF">2021-09-15T15:02:02Z</dcterms:modified>
</cp:coreProperties>
</file>