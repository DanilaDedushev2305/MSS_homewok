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Работа\5 семестр\мсс\"/>
    </mc:Choice>
  </mc:AlternateContent>
  <bookViews>
    <workbookView xWindow="0" yWindow="0" windowWidth="28800" windowHeight="12480"/>
  </bookViews>
  <sheets>
    <sheet name="Неявный вид 2D" sheetId="4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6" i="4" l="1"/>
  <c r="AI3" i="4"/>
  <c r="AI4" i="4"/>
  <c r="AI5" i="4"/>
  <c r="AI6" i="4"/>
  <c r="AI7" i="4"/>
  <c r="AI8" i="4"/>
  <c r="AI9" i="4"/>
  <c r="AI10" i="4"/>
  <c r="AI11" i="4"/>
  <c r="AI12" i="4"/>
  <c r="AI13" i="4"/>
  <c r="AI14" i="4"/>
  <c r="AI15" i="4"/>
  <c r="AI17" i="4"/>
  <c r="AI18" i="4"/>
  <c r="AI19" i="4"/>
  <c r="AI20" i="4"/>
  <c r="AI21" i="4"/>
  <c r="AI22" i="4"/>
  <c r="AI23" i="4"/>
  <c r="AI24" i="4"/>
  <c r="AI25" i="4"/>
  <c r="AI26" i="4"/>
  <c r="AI27" i="4"/>
  <c r="AI28" i="4"/>
  <c r="AI29" i="4"/>
  <c r="AI30" i="4"/>
  <c r="AI31" i="4"/>
  <c r="AI2" i="4"/>
  <c r="F29" i="4"/>
  <c r="F30" i="4"/>
  <c r="F31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AI66" i="4" l="1"/>
  <c r="AI67" i="4" s="1"/>
  <c r="AI68" i="4" s="1"/>
  <c r="AI69" i="4" s="1"/>
  <c r="AI70" i="4" s="1"/>
  <c r="AI71" i="4" s="1"/>
  <c r="AI72" i="4" s="1"/>
  <c r="AI73" i="4" s="1"/>
  <c r="AI74" i="4" s="1"/>
  <c r="AI75" i="4" s="1"/>
  <c r="AI76" i="4" s="1"/>
  <c r="AI77" i="4" s="1"/>
  <c r="AI78" i="4" s="1"/>
  <c r="AI79" i="4" s="1"/>
  <c r="AI80" i="4" s="1"/>
  <c r="AI81" i="4" s="1"/>
  <c r="AI82" i="4" s="1"/>
  <c r="AI83" i="4" s="1"/>
  <c r="AI84" i="4" s="1"/>
  <c r="AI85" i="4" s="1"/>
  <c r="AI86" i="4" s="1"/>
  <c r="AI87" i="4" s="1"/>
  <c r="AI88" i="4" s="1"/>
  <c r="AI89" i="4" s="1"/>
  <c r="AI90" i="4" s="1"/>
  <c r="AI91" i="4" s="1"/>
  <c r="AI92" i="4" s="1"/>
  <c r="AI93" i="4" s="1"/>
  <c r="AI65" i="4"/>
  <c r="BG62" i="4"/>
  <c r="BE36" i="4"/>
  <c r="AO36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64" i="4"/>
  <c r="AI64" i="4"/>
  <c r="EA92" i="4"/>
  <c r="EA91" i="4" s="1"/>
  <c r="EA90" i="4" s="1"/>
  <c r="EA89" i="4" s="1"/>
  <c r="EA88" i="4" s="1"/>
  <c r="EA87" i="4" s="1"/>
  <c r="EA86" i="4" s="1"/>
  <c r="EA85" i="4" s="1"/>
  <c r="EA84" i="4" s="1"/>
  <c r="EA83" i="4" s="1"/>
  <c r="EA82" i="4" s="1"/>
  <c r="EA81" i="4" s="1"/>
  <c r="EA80" i="4" s="1"/>
  <c r="EA79" i="4" s="1"/>
  <c r="EA78" i="4" s="1"/>
  <c r="EA77" i="4" s="1"/>
  <c r="EA76" i="4" s="1"/>
  <c r="EA75" i="4" s="1"/>
  <c r="EA74" i="4" s="1"/>
  <c r="EA73" i="4" s="1"/>
  <c r="EA72" i="4" s="1"/>
  <c r="EA71" i="4" s="1"/>
  <c r="EA70" i="4" s="1"/>
  <c r="EA69" i="4" s="1"/>
  <c r="EA68" i="4" s="1"/>
  <c r="EA67" i="4" s="1"/>
  <c r="EA66" i="4" s="1"/>
  <c r="EA65" i="4" s="1"/>
  <c r="EA64" i="4" s="1"/>
  <c r="CX92" i="4"/>
  <c r="CX91" i="4" s="1"/>
  <c r="CX90" i="4" s="1"/>
  <c r="CX89" i="4" s="1"/>
  <c r="CX88" i="4" s="1"/>
  <c r="CX87" i="4" s="1"/>
  <c r="CX86" i="4" s="1"/>
  <c r="CX85" i="4" s="1"/>
  <c r="CX84" i="4" s="1"/>
  <c r="CX83" i="4" s="1"/>
  <c r="CX82" i="4" s="1"/>
  <c r="CX81" i="4" s="1"/>
  <c r="CX80" i="4" s="1"/>
  <c r="CX79" i="4" s="1"/>
  <c r="CX78" i="4" s="1"/>
  <c r="CX77" i="4" s="1"/>
  <c r="CX76" i="4" s="1"/>
  <c r="CX75" i="4" s="1"/>
  <c r="CX74" i="4" s="1"/>
  <c r="CX73" i="4" s="1"/>
  <c r="CX72" i="4" s="1"/>
  <c r="CX71" i="4" s="1"/>
  <c r="CX70" i="4" s="1"/>
  <c r="CX69" i="4" s="1"/>
  <c r="CX68" i="4" s="1"/>
  <c r="CX67" i="4" s="1"/>
  <c r="CX66" i="4" s="1"/>
  <c r="CX65" i="4" s="1"/>
  <c r="CX64" i="4" s="1"/>
  <c r="CO91" i="4"/>
  <c r="CO90" i="4" s="1"/>
  <c r="CO89" i="4" s="1"/>
  <c r="CO88" i="4" s="1"/>
  <c r="CO87" i="4" s="1"/>
  <c r="CO86" i="4" s="1"/>
  <c r="CO85" i="4" s="1"/>
  <c r="CO84" i="4" s="1"/>
  <c r="CO83" i="4" s="1"/>
  <c r="CO82" i="4" s="1"/>
  <c r="CO81" i="4" s="1"/>
  <c r="CO80" i="4" s="1"/>
  <c r="CO79" i="4" s="1"/>
  <c r="CO78" i="4" s="1"/>
  <c r="CO77" i="4" s="1"/>
  <c r="CO76" i="4" s="1"/>
  <c r="CO75" i="4" s="1"/>
  <c r="CO74" i="4" s="1"/>
  <c r="CO73" i="4" s="1"/>
  <c r="CO72" i="4" s="1"/>
  <c r="CO71" i="4" s="1"/>
  <c r="CO70" i="4" s="1"/>
  <c r="CO69" i="4" s="1"/>
  <c r="CO68" i="4" s="1"/>
  <c r="CO67" i="4" s="1"/>
  <c r="CO66" i="4" s="1"/>
  <c r="CO65" i="4" s="1"/>
  <c r="CO64" i="4" s="1"/>
  <c r="BS92" i="4"/>
  <c r="BS91" i="4" s="1"/>
  <c r="BS90" i="4" s="1"/>
  <c r="BS89" i="4" s="1"/>
  <c r="BS88" i="4" s="1"/>
  <c r="BS87" i="4" s="1"/>
  <c r="BS86" i="4" s="1"/>
  <c r="BS85" i="4" s="1"/>
  <c r="BS84" i="4" s="1"/>
  <c r="BS83" i="4" s="1"/>
  <c r="BS82" i="4" s="1"/>
  <c r="BS81" i="4" s="1"/>
  <c r="BS80" i="4" s="1"/>
  <c r="BS79" i="4" s="1"/>
  <c r="BS78" i="4" s="1"/>
  <c r="BS77" i="4" s="1"/>
  <c r="BS76" i="4" s="1"/>
  <c r="BS75" i="4" s="1"/>
  <c r="BS74" i="4" s="1"/>
  <c r="BS73" i="4" s="1"/>
  <c r="BS72" i="4" s="1"/>
  <c r="BS71" i="4" s="1"/>
  <c r="BS70" i="4" s="1"/>
  <c r="BS69" i="4" s="1"/>
  <c r="BS68" i="4" s="1"/>
  <c r="BS67" i="4" s="1"/>
  <c r="BS66" i="4" s="1"/>
  <c r="BS65" i="4" s="1"/>
  <c r="BS64" i="4" s="1"/>
  <c r="BT92" i="4"/>
  <c r="BT91" i="4" s="1"/>
  <c r="BT90" i="4" s="1"/>
  <c r="BT89" i="4" s="1"/>
  <c r="BT88" i="4" s="1"/>
  <c r="BT87" i="4" s="1"/>
  <c r="BT86" i="4" s="1"/>
  <c r="BT85" i="4" s="1"/>
  <c r="BT84" i="4" s="1"/>
  <c r="BT83" i="4" s="1"/>
  <c r="BT82" i="4" s="1"/>
  <c r="BT81" i="4" s="1"/>
  <c r="BT80" i="4" s="1"/>
  <c r="BT79" i="4" s="1"/>
  <c r="BT78" i="4" s="1"/>
  <c r="BT77" i="4" s="1"/>
  <c r="BT76" i="4" s="1"/>
  <c r="BT75" i="4" s="1"/>
  <c r="BT74" i="4" s="1"/>
  <c r="BT73" i="4" s="1"/>
  <c r="BT72" i="4" s="1"/>
  <c r="BT71" i="4" s="1"/>
  <c r="BT70" i="4" s="1"/>
  <c r="BT69" i="4" s="1"/>
  <c r="BT68" i="4" s="1"/>
  <c r="BT67" i="4" s="1"/>
  <c r="BT66" i="4" s="1"/>
  <c r="BT65" i="4" s="1"/>
  <c r="BT64" i="4" s="1"/>
  <c r="BW92" i="4"/>
  <c r="BW91" i="4" s="1"/>
  <c r="BW90" i="4" s="1"/>
  <c r="BW89" i="4" s="1"/>
  <c r="BW88" i="4" s="1"/>
  <c r="BW87" i="4" s="1"/>
  <c r="BW86" i="4" s="1"/>
  <c r="BW85" i="4" s="1"/>
  <c r="BW84" i="4" s="1"/>
  <c r="BW83" i="4" s="1"/>
  <c r="BW82" i="4" s="1"/>
  <c r="BW81" i="4" s="1"/>
  <c r="BW80" i="4" s="1"/>
  <c r="BW79" i="4" s="1"/>
  <c r="BW78" i="4" s="1"/>
  <c r="BW77" i="4" s="1"/>
  <c r="BW76" i="4" s="1"/>
  <c r="BW75" i="4" s="1"/>
  <c r="BW74" i="4" s="1"/>
  <c r="BW73" i="4" s="1"/>
  <c r="BW72" i="4" s="1"/>
  <c r="BW71" i="4" s="1"/>
  <c r="BW70" i="4" s="1"/>
  <c r="BW69" i="4" s="1"/>
  <c r="BW68" i="4" s="1"/>
  <c r="BW67" i="4" s="1"/>
  <c r="BW66" i="4" s="1"/>
  <c r="BW65" i="4" s="1"/>
  <c r="BW64" i="4" s="1"/>
  <c r="BX92" i="4"/>
  <c r="BX91" i="4" s="1"/>
  <c r="BX90" i="4" s="1"/>
  <c r="BX89" i="4" s="1"/>
  <c r="BX88" i="4" s="1"/>
  <c r="BX87" i="4" s="1"/>
  <c r="BX86" i="4" s="1"/>
  <c r="BX85" i="4" s="1"/>
  <c r="BX84" i="4" s="1"/>
  <c r="BX83" i="4" s="1"/>
  <c r="BX82" i="4" s="1"/>
  <c r="BX81" i="4" s="1"/>
  <c r="BX80" i="4" s="1"/>
  <c r="BX79" i="4" s="1"/>
  <c r="BX78" i="4" s="1"/>
  <c r="BX77" i="4" s="1"/>
  <c r="BX76" i="4" s="1"/>
  <c r="BX75" i="4" s="1"/>
  <c r="BX74" i="4" s="1"/>
  <c r="BX73" i="4" s="1"/>
  <c r="BX72" i="4" s="1"/>
  <c r="BX71" i="4" s="1"/>
  <c r="BX70" i="4" s="1"/>
  <c r="BX69" i="4" s="1"/>
  <c r="BX68" i="4" s="1"/>
  <c r="BX67" i="4" s="1"/>
  <c r="BX66" i="4" s="1"/>
  <c r="BX65" i="4" s="1"/>
  <c r="BX64" i="4" s="1"/>
  <c r="CA92" i="4"/>
  <c r="CA91" i="4" s="1"/>
  <c r="CA90" i="4" s="1"/>
  <c r="CA89" i="4" s="1"/>
  <c r="CA88" i="4" s="1"/>
  <c r="CA87" i="4" s="1"/>
  <c r="CA86" i="4" s="1"/>
  <c r="CA85" i="4" s="1"/>
  <c r="CA84" i="4" s="1"/>
  <c r="CA83" i="4" s="1"/>
  <c r="CA82" i="4" s="1"/>
  <c r="CA81" i="4" s="1"/>
  <c r="CA80" i="4" s="1"/>
  <c r="CA79" i="4" s="1"/>
  <c r="CA78" i="4" s="1"/>
  <c r="CA77" i="4" s="1"/>
  <c r="CA76" i="4" s="1"/>
  <c r="CA75" i="4" s="1"/>
  <c r="CA74" i="4" s="1"/>
  <c r="CA73" i="4" s="1"/>
  <c r="CA72" i="4" s="1"/>
  <c r="CA71" i="4" s="1"/>
  <c r="CA70" i="4" s="1"/>
  <c r="CA69" i="4" s="1"/>
  <c r="CA68" i="4" s="1"/>
  <c r="CA67" i="4" s="1"/>
  <c r="CA66" i="4" s="1"/>
  <c r="CA65" i="4" s="1"/>
  <c r="CA64" i="4" s="1"/>
  <c r="CB92" i="4"/>
  <c r="CB91" i="4" s="1"/>
  <c r="CB90" i="4" s="1"/>
  <c r="CB89" i="4" s="1"/>
  <c r="CB88" i="4" s="1"/>
  <c r="CB87" i="4" s="1"/>
  <c r="CB86" i="4" s="1"/>
  <c r="CB85" i="4" s="1"/>
  <c r="CB84" i="4" s="1"/>
  <c r="CB83" i="4" s="1"/>
  <c r="CB82" i="4" s="1"/>
  <c r="CB81" i="4" s="1"/>
  <c r="CB80" i="4" s="1"/>
  <c r="CB79" i="4" s="1"/>
  <c r="CB78" i="4" s="1"/>
  <c r="CB77" i="4" s="1"/>
  <c r="CB76" i="4" s="1"/>
  <c r="CB75" i="4" s="1"/>
  <c r="CB74" i="4" s="1"/>
  <c r="CB73" i="4" s="1"/>
  <c r="CB72" i="4" s="1"/>
  <c r="CB71" i="4" s="1"/>
  <c r="CB70" i="4" s="1"/>
  <c r="CB69" i="4" s="1"/>
  <c r="CB68" i="4" s="1"/>
  <c r="CB67" i="4" s="1"/>
  <c r="CB66" i="4" s="1"/>
  <c r="CB65" i="4" s="1"/>
  <c r="CB64" i="4" s="1"/>
  <c r="CE92" i="4"/>
  <c r="CE91" i="4" s="1"/>
  <c r="CE90" i="4" s="1"/>
  <c r="CE89" i="4" s="1"/>
  <c r="CE88" i="4" s="1"/>
  <c r="CE87" i="4" s="1"/>
  <c r="CE86" i="4" s="1"/>
  <c r="CE85" i="4" s="1"/>
  <c r="CE84" i="4" s="1"/>
  <c r="CE83" i="4" s="1"/>
  <c r="CE82" i="4" s="1"/>
  <c r="CE81" i="4" s="1"/>
  <c r="CE80" i="4" s="1"/>
  <c r="CE79" i="4" s="1"/>
  <c r="CE78" i="4" s="1"/>
  <c r="CE77" i="4" s="1"/>
  <c r="CE76" i="4" s="1"/>
  <c r="CE75" i="4" s="1"/>
  <c r="CE74" i="4" s="1"/>
  <c r="CE73" i="4" s="1"/>
  <c r="CE72" i="4" s="1"/>
  <c r="CE71" i="4" s="1"/>
  <c r="CE70" i="4" s="1"/>
  <c r="CE69" i="4" s="1"/>
  <c r="CE68" i="4" s="1"/>
  <c r="CE67" i="4" s="1"/>
  <c r="CE66" i="4" s="1"/>
  <c r="CE65" i="4" s="1"/>
  <c r="CE64" i="4" s="1"/>
  <c r="CF92" i="4"/>
  <c r="CF91" i="4" s="1"/>
  <c r="CF90" i="4" s="1"/>
  <c r="CF89" i="4" s="1"/>
  <c r="CF88" i="4" s="1"/>
  <c r="CF87" i="4" s="1"/>
  <c r="CF86" i="4" s="1"/>
  <c r="CF85" i="4" s="1"/>
  <c r="CF84" i="4" s="1"/>
  <c r="CF83" i="4" s="1"/>
  <c r="CF82" i="4" s="1"/>
  <c r="CF81" i="4" s="1"/>
  <c r="CF80" i="4" s="1"/>
  <c r="CF79" i="4" s="1"/>
  <c r="CF78" i="4" s="1"/>
  <c r="CF77" i="4" s="1"/>
  <c r="CF76" i="4" s="1"/>
  <c r="CF75" i="4" s="1"/>
  <c r="CF74" i="4" s="1"/>
  <c r="CF73" i="4" s="1"/>
  <c r="CF72" i="4" s="1"/>
  <c r="CF71" i="4" s="1"/>
  <c r="CF70" i="4" s="1"/>
  <c r="CF69" i="4" s="1"/>
  <c r="CF68" i="4" s="1"/>
  <c r="CF67" i="4" s="1"/>
  <c r="CF66" i="4" s="1"/>
  <c r="CF65" i="4" s="1"/>
  <c r="CF64" i="4" s="1"/>
  <c r="CI92" i="4"/>
  <c r="CI91" i="4" s="1"/>
  <c r="CI90" i="4" s="1"/>
  <c r="CI89" i="4" s="1"/>
  <c r="CI88" i="4" s="1"/>
  <c r="CI87" i="4" s="1"/>
  <c r="CI86" i="4" s="1"/>
  <c r="CI85" i="4" s="1"/>
  <c r="CI84" i="4" s="1"/>
  <c r="CI83" i="4" s="1"/>
  <c r="CI82" i="4" s="1"/>
  <c r="CI81" i="4" s="1"/>
  <c r="CI80" i="4" s="1"/>
  <c r="CI79" i="4" s="1"/>
  <c r="CI78" i="4" s="1"/>
  <c r="CI77" i="4" s="1"/>
  <c r="CI76" i="4" s="1"/>
  <c r="CI75" i="4" s="1"/>
  <c r="CI74" i="4" s="1"/>
  <c r="CI73" i="4" s="1"/>
  <c r="CI72" i="4" s="1"/>
  <c r="CI71" i="4" s="1"/>
  <c r="CI70" i="4" s="1"/>
  <c r="CI69" i="4" s="1"/>
  <c r="CI68" i="4" s="1"/>
  <c r="CI67" i="4" s="1"/>
  <c r="CI66" i="4" s="1"/>
  <c r="CI65" i="4" s="1"/>
  <c r="CI64" i="4" s="1"/>
  <c r="CJ92" i="4"/>
  <c r="CJ91" i="4" s="1"/>
  <c r="CJ90" i="4" s="1"/>
  <c r="CJ89" i="4" s="1"/>
  <c r="CJ88" i="4" s="1"/>
  <c r="CJ87" i="4" s="1"/>
  <c r="CJ86" i="4" s="1"/>
  <c r="CJ85" i="4" s="1"/>
  <c r="CJ84" i="4" s="1"/>
  <c r="CJ83" i="4" s="1"/>
  <c r="CJ82" i="4" s="1"/>
  <c r="CJ81" i="4" s="1"/>
  <c r="CJ80" i="4" s="1"/>
  <c r="CJ79" i="4" s="1"/>
  <c r="CJ78" i="4" s="1"/>
  <c r="CJ77" i="4" s="1"/>
  <c r="CJ76" i="4" s="1"/>
  <c r="CJ75" i="4" s="1"/>
  <c r="CJ74" i="4" s="1"/>
  <c r="CJ73" i="4" s="1"/>
  <c r="CJ72" i="4" s="1"/>
  <c r="CJ71" i="4" s="1"/>
  <c r="CJ70" i="4" s="1"/>
  <c r="CJ69" i="4" s="1"/>
  <c r="CJ68" i="4" s="1"/>
  <c r="CJ67" i="4" s="1"/>
  <c r="CJ66" i="4" s="1"/>
  <c r="CJ65" i="4" s="1"/>
  <c r="CJ64" i="4" s="1"/>
  <c r="CM92" i="4"/>
  <c r="CM91" i="4" s="1"/>
  <c r="CM90" i="4" s="1"/>
  <c r="CM89" i="4" s="1"/>
  <c r="CM88" i="4" s="1"/>
  <c r="CM87" i="4" s="1"/>
  <c r="CM86" i="4" s="1"/>
  <c r="CM85" i="4" s="1"/>
  <c r="CM84" i="4" s="1"/>
  <c r="CM83" i="4" s="1"/>
  <c r="CM82" i="4" s="1"/>
  <c r="CM81" i="4" s="1"/>
  <c r="CM80" i="4" s="1"/>
  <c r="CM79" i="4" s="1"/>
  <c r="CM78" i="4" s="1"/>
  <c r="CM77" i="4" s="1"/>
  <c r="CM76" i="4" s="1"/>
  <c r="CM75" i="4" s="1"/>
  <c r="CM74" i="4" s="1"/>
  <c r="CM73" i="4" s="1"/>
  <c r="CM72" i="4" s="1"/>
  <c r="CM71" i="4" s="1"/>
  <c r="CM70" i="4" s="1"/>
  <c r="CM69" i="4" s="1"/>
  <c r="CM68" i="4" s="1"/>
  <c r="CM67" i="4" s="1"/>
  <c r="CM66" i="4" s="1"/>
  <c r="CM65" i="4" s="1"/>
  <c r="CM64" i="4" s="1"/>
  <c r="CN92" i="4"/>
  <c r="CN91" i="4" s="1"/>
  <c r="CN90" i="4" s="1"/>
  <c r="CN89" i="4" s="1"/>
  <c r="CN88" i="4" s="1"/>
  <c r="CN87" i="4" s="1"/>
  <c r="CN86" i="4" s="1"/>
  <c r="CN85" i="4" s="1"/>
  <c r="CN84" i="4" s="1"/>
  <c r="CN83" i="4" s="1"/>
  <c r="CN82" i="4" s="1"/>
  <c r="CN81" i="4" s="1"/>
  <c r="CN80" i="4" s="1"/>
  <c r="CN79" i="4" s="1"/>
  <c r="CN78" i="4" s="1"/>
  <c r="CN77" i="4" s="1"/>
  <c r="CN76" i="4" s="1"/>
  <c r="CN75" i="4" s="1"/>
  <c r="CN74" i="4" s="1"/>
  <c r="CN73" i="4" s="1"/>
  <c r="CN72" i="4" s="1"/>
  <c r="CN71" i="4" s="1"/>
  <c r="CN70" i="4" s="1"/>
  <c r="CN69" i="4" s="1"/>
  <c r="CN68" i="4" s="1"/>
  <c r="CN67" i="4" s="1"/>
  <c r="CN66" i="4" s="1"/>
  <c r="CN65" i="4" s="1"/>
  <c r="CN64" i="4" s="1"/>
  <c r="CQ92" i="4"/>
  <c r="CQ91" i="4" s="1"/>
  <c r="CQ90" i="4" s="1"/>
  <c r="CQ89" i="4" s="1"/>
  <c r="CQ88" i="4" s="1"/>
  <c r="CQ87" i="4" s="1"/>
  <c r="CQ86" i="4" s="1"/>
  <c r="CQ85" i="4" s="1"/>
  <c r="CQ84" i="4" s="1"/>
  <c r="CQ83" i="4" s="1"/>
  <c r="CQ82" i="4" s="1"/>
  <c r="CQ81" i="4" s="1"/>
  <c r="CQ80" i="4" s="1"/>
  <c r="CQ79" i="4" s="1"/>
  <c r="CQ78" i="4" s="1"/>
  <c r="CQ77" i="4" s="1"/>
  <c r="CQ76" i="4" s="1"/>
  <c r="CQ75" i="4" s="1"/>
  <c r="CQ74" i="4" s="1"/>
  <c r="CQ73" i="4" s="1"/>
  <c r="CQ72" i="4" s="1"/>
  <c r="CQ71" i="4" s="1"/>
  <c r="CQ70" i="4" s="1"/>
  <c r="CQ69" i="4" s="1"/>
  <c r="CQ68" i="4" s="1"/>
  <c r="CQ67" i="4" s="1"/>
  <c r="CQ66" i="4" s="1"/>
  <c r="CQ65" i="4" s="1"/>
  <c r="CQ64" i="4" s="1"/>
  <c r="CR92" i="4"/>
  <c r="CR91" i="4" s="1"/>
  <c r="CR90" i="4" s="1"/>
  <c r="CR89" i="4" s="1"/>
  <c r="CR88" i="4" s="1"/>
  <c r="CR87" i="4" s="1"/>
  <c r="CR86" i="4" s="1"/>
  <c r="CR85" i="4" s="1"/>
  <c r="CR84" i="4" s="1"/>
  <c r="CR83" i="4" s="1"/>
  <c r="CR82" i="4" s="1"/>
  <c r="CR81" i="4" s="1"/>
  <c r="CR80" i="4" s="1"/>
  <c r="CR79" i="4" s="1"/>
  <c r="CR78" i="4" s="1"/>
  <c r="CR77" i="4" s="1"/>
  <c r="CR76" i="4" s="1"/>
  <c r="CR75" i="4" s="1"/>
  <c r="CR74" i="4" s="1"/>
  <c r="CR73" i="4" s="1"/>
  <c r="CR72" i="4" s="1"/>
  <c r="CR71" i="4" s="1"/>
  <c r="CR70" i="4" s="1"/>
  <c r="CR69" i="4" s="1"/>
  <c r="CR68" i="4" s="1"/>
  <c r="CR67" i="4" s="1"/>
  <c r="CR66" i="4" s="1"/>
  <c r="CR65" i="4" s="1"/>
  <c r="CR64" i="4" s="1"/>
  <c r="CU92" i="4"/>
  <c r="CU91" i="4" s="1"/>
  <c r="CU90" i="4" s="1"/>
  <c r="CU89" i="4" s="1"/>
  <c r="CU88" i="4" s="1"/>
  <c r="CU87" i="4" s="1"/>
  <c r="CU86" i="4" s="1"/>
  <c r="CU85" i="4" s="1"/>
  <c r="CU84" i="4" s="1"/>
  <c r="CU83" i="4" s="1"/>
  <c r="CU82" i="4" s="1"/>
  <c r="CU81" i="4" s="1"/>
  <c r="CU80" i="4" s="1"/>
  <c r="CU79" i="4" s="1"/>
  <c r="CU78" i="4" s="1"/>
  <c r="CU77" i="4" s="1"/>
  <c r="CU76" i="4" s="1"/>
  <c r="CU75" i="4" s="1"/>
  <c r="CU74" i="4" s="1"/>
  <c r="CU73" i="4" s="1"/>
  <c r="CU72" i="4" s="1"/>
  <c r="CU71" i="4" s="1"/>
  <c r="CU70" i="4" s="1"/>
  <c r="CU69" i="4" s="1"/>
  <c r="CU68" i="4" s="1"/>
  <c r="CU67" i="4" s="1"/>
  <c r="CU66" i="4" s="1"/>
  <c r="CU65" i="4" s="1"/>
  <c r="CU64" i="4" s="1"/>
  <c r="BU92" i="4"/>
  <c r="BU91" i="4" s="1"/>
  <c r="BU90" i="4" s="1"/>
  <c r="BU89" i="4" s="1"/>
  <c r="BU88" i="4" s="1"/>
  <c r="BU87" i="4" s="1"/>
  <c r="BU86" i="4" s="1"/>
  <c r="BU85" i="4" s="1"/>
  <c r="BU84" i="4" s="1"/>
  <c r="BU83" i="4" s="1"/>
  <c r="BU82" i="4" s="1"/>
  <c r="BU81" i="4" s="1"/>
  <c r="BU80" i="4" s="1"/>
  <c r="BU79" i="4" s="1"/>
  <c r="BU78" i="4" s="1"/>
  <c r="BU77" i="4" s="1"/>
  <c r="BU76" i="4" s="1"/>
  <c r="BU75" i="4" s="1"/>
  <c r="BU74" i="4" s="1"/>
  <c r="BU73" i="4" s="1"/>
  <c r="BU72" i="4" s="1"/>
  <c r="BU71" i="4" s="1"/>
  <c r="BU70" i="4" s="1"/>
  <c r="BU69" i="4" s="1"/>
  <c r="BU68" i="4" s="1"/>
  <c r="BU67" i="4" s="1"/>
  <c r="BU66" i="4" s="1"/>
  <c r="BU65" i="4" s="1"/>
  <c r="BU64" i="4" s="1"/>
  <c r="BV92" i="4"/>
  <c r="BV91" i="4" s="1"/>
  <c r="BV90" i="4" s="1"/>
  <c r="BV89" i="4" s="1"/>
  <c r="BV88" i="4" s="1"/>
  <c r="BV87" i="4" s="1"/>
  <c r="BV86" i="4" s="1"/>
  <c r="BV85" i="4" s="1"/>
  <c r="BV84" i="4" s="1"/>
  <c r="BV83" i="4" s="1"/>
  <c r="BV82" i="4" s="1"/>
  <c r="BV81" i="4" s="1"/>
  <c r="BV80" i="4" s="1"/>
  <c r="BV79" i="4" s="1"/>
  <c r="BV78" i="4" s="1"/>
  <c r="BV77" i="4" s="1"/>
  <c r="BV76" i="4" s="1"/>
  <c r="BV75" i="4" s="1"/>
  <c r="BV74" i="4" s="1"/>
  <c r="BV73" i="4" s="1"/>
  <c r="BV72" i="4" s="1"/>
  <c r="BV71" i="4" s="1"/>
  <c r="BV70" i="4" s="1"/>
  <c r="BV69" i="4" s="1"/>
  <c r="BV68" i="4" s="1"/>
  <c r="BV67" i="4" s="1"/>
  <c r="BV66" i="4" s="1"/>
  <c r="BV65" i="4" s="1"/>
  <c r="BV64" i="4" s="1"/>
  <c r="BY92" i="4"/>
  <c r="BY91" i="4" s="1"/>
  <c r="BY90" i="4" s="1"/>
  <c r="BY89" i="4" s="1"/>
  <c r="BY88" i="4" s="1"/>
  <c r="BY87" i="4" s="1"/>
  <c r="BY86" i="4" s="1"/>
  <c r="BY85" i="4" s="1"/>
  <c r="BY84" i="4" s="1"/>
  <c r="BY83" i="4" s="1"/>
  <c r="BY82" i="4" s="1"/>
  <c r="BY81" i="4" s="1"/>
  <c r="BY80" i="4" s="1"/>
  <c r="BY79" i="4" s="1"/>
  <c r="BY78" i="4" s="1"/>
  <c r="BY77" i="4" s="1"/>
  <c r="BY76" i="4" s="1"/>
  <c r="BY75" i="4" s="1"/>
  <c r="BY74" i="4" s="1"/>
  <c r="BY73" i="4" s="1"/>
  <c r="BY72" i="4" s="1"/>
  <c r="BY71" i="4" s="1"/>
  <c r="BY70" i="4" s="1"/>
  <c r="BY69" i="4" s="1"/>
  <c r="BY68" i="4" s="1"/>
  <c r="BY67" i="4" s="1"/>
  <c r="BY66" i="4" s="1"/>
  <c r="BY65" i="4" s="1"/>
  <c r="BY64" i="4" s="1"/>
  <c r="BZ92" i="4"/>
  <c r="BZ91" i="4" s="1"/>
  <c r="BZ90" i="4" s="1"/>
  <c r="BZ89" i="4" s="1"/>
  <c r="BZ88" i="4" s="1"/>
  <c r="BZ87" i="4" s="1"/>
  <c r="BZ86" i="4" s="1"/>
  <c r="BZ85" i="4" s="1"/>
  <c r="BZ84" i="4" s="1"/>
  <c r="BZ83" i="4" s="1"/>
  <c r="BZ82" i="4" s="1"/>
  <c r="BZ81" i="4" s="1"/>
  <c r="BZ80" i="4" s="1"/>
  <c r="BZ79" i="4" s="1"/>
  <c r="BZ78" i="4" s="1"/>
  <c r="BZ77" i="4" s="1"/>
  <c r="BZ76" i="4" s="1"/>
  <c r="BZ75" i="4" s="1"/>
  <c r="BZ74" i="4" s="1"/>
  <c r="BZ73" i="4" s="1"/>
  <c r="BZ72" i="4" s="1"/>
  <c r="BZ71" i="4" s="1"/>
  <c r="BZ70" i="4" s="1"/>
  <c r="BZ69" i="4" s="1"/>
  <c r="BZ68" i="4" s="1"/>
  <c r="BZ67" i="4" s="1"/>
  <c r="BZ66" i="4" s="1"/>
  <c r="BZ65" i="4" s="1"/>
  <c r="BZ64" i="4" s="1"/>
  <c r="CC92" i="4"/>
  <c r="CC91" i="4" s="1"/>
  <c r="CC90" i="4" s="1"/>
  <c r="CC89" i="4" s="1"/>
  <c r="CC88" i="4" s="1"/>
  <c r="CC87" i="4" s="1"/>
  <c r="CC86" i="4" s="1"/>
  <c r="CC85" i="4" s="1"/>
  <c r="CC84" i="4" s="1"/>
  <c r="CC83" i="4" s="1"/>
  <c r="CC82" i="4" s="1"/>
  <c r="CC81" i="4" s="1"/>
  <c r="CC80" i="4" s="1"/>
  <c r="CC79" i="4" s="1"/>
  <c r="CC78" i="4" s="1"/>
  <c r="CC77" i="4" s="1"/>
  <c r="CC76" i="4" s="1"/>
  <c r="CC75" i="4" s="1"/>
  <c r="CC74" i="4" s="1"/>
  <c r="CC73" i="4" s="1"/>
  <c r="CC72" i="4" s="1"/>
  <c r="CC71" i="4" s="1"/>
  <c r="CC70" i="4" s="1"/>
  <c r="CC69" i="4" s="1"/>
  <c r="CC68" i="4" s="1"/>
  <c r="CC67" i="4" s="1"/>
  <c r="CC66" i="4" s="1"/>
  <c r="CC65" i="4" s="1"/>
  <c r="CC64" i="4" s="1"/>
  <c r="CD92" i="4"/>
  <c r="CD91" i="4" s="1"/>
  <c r="CD90" i="4" s="1"/>
  <c r="CD89" i="4" s="1"/>
  <c r="CD88" i="4" s="1"/>
  <c r="CD87" i="4" s="1"/>
  <c r="CD86" i="4" s="1"/>
  <c r="CD85" i="4" s="1"/>
  <c r="CD84" i="4" s="1"/>
  <c r="CD83" i="4" s="1"/>
  <c r="CD82" i="4" s="1"/>
  <c r="CD81" i="4" s="1"/>
  <c r="CD80" i="4" s="1"/>
  <c r="CD79" i="4" s="1"/>
  <c r="CD78" i="4" s="1"/>
  <c r="CD77" i="4" s="1"/>
  <c r="CD76" i="4" s="1"/>
  <c r="CD75" i="4" s="1"/>
  <c r="CD74" i="4" s="1"/>
  <c r="CD73" i="4" s="1"/>
  <c r="CD72" i="4" s="1"/>
  <c r="CD71" i="4" s="1"/>
  <c r="CD70" i="4" s="1"/>
  <c r="CD69" i="4" s="1"/>
  <c r="CD68" i="4" s="1"/>
  <c r="CD67" i="4" s="1"/>
  <c r="CD66" i="4" s="1"/>
  <c r="CD65" i="4" s="1"/>
  <c r="CD64" i="4" s="1"/>
  <c r="CG92" i="4"/>
  <c r="CG91" i="4" s="1"/>
  <c r="CG90" i="4" s="1"/>
  <c r="CG89" i="4" s="1"/>
  <c r="CG88" i="4" s="1"/>
  <c r="CG87" i="4" s="1"/>
  <c r="CG86" i="4" s="1"/>
  <c r="CG85" i="4" s="1"/>
  <c r="CG84" i="4" s="1"/>
  <c r="CG83" i="4" s="1"/>
  <c r="CG82" i="4" s="1"/>
  <c r="CG81" i="4" s="1"/>
  <c r="CG80" i="4" s="1"/>
  <c r="CG79" i="4" s="1"/>
  <c r="CG78" i="4" s="1"/>
  <c r="CG77" i="4" s="1"/>
  <c r="CG76" i="4" s="1"/>
  <c r="CG75" i="4" s="1"/>
  <c r="CG74" i="4" s="1"/>
  <c r="CG73" i="4" s="1"/>
  <c r="CG72" i="4" s="1"/>
  <c r="CG71" i="4" s="1"/>
  <c r="CG70" i="4" s="1"/>
  <c r="CG69" i="4" s="1"/>
  <c r="CG68" i="4" s="1"/>
  <c r="CG67" i="4" s="1"/>
  <c r="CG66" i="4" s="1"/>
  <c r="CG65" i="4" s="1"/>
  <c r="CG64" i="4" s="1"/>
  <c r="CH92" i="4"/>
  <c r="CH91" i="4" s="1"/>
  <c r="CH90" i="4" s="1"/>
  <c r="CH89" i="4" s="1"/>
  <c r="CH88" i="4" s="1"/>
  <c r="CH87" i="4" s="1"/>
  <c r="CH86" i="4" s="1"/>
  <c r="CH85" i="4" s="1"/>
  <c r="CH84" i="4" s="1"/>
  <c r="CH83" i="4" s="1"/>
  <c r="CH82" i="4" s="1"/>
  <c r="CH81" i="4" s="1"/>
  <c r="CH80" i="4" s="1"/>
  <c r="CH79" i="4" s="1"/>
  <c r="CH78" i="4" s="1"/>
  <c r="CH77" i="4" s="1"/>
  <c r="CH76" i="4" s="1"/>
  <c r="CH75" i="4" s="1"/>
  <c r="CH74" i="4" s="1"/>
  <c r="CH73" i="4" s="1"/>
  <c r="CH72" i="4" s="1"/>
  <c r="CH71" i="4" s="1"/>
  <c r="CH70" i="4" s="1"/>
  <c r="CH69" i="4" s="1"/>
  <c r="CH68" i="4" s="1"/>
  <c r="CH67" i="4" s="1"/>
  <c r="CH66" i="4" s="1"/>
  <c r="CH65" i="4" s="1"/>
  <c r="CH64" i="4" s="1"/>
  <c r="CK92" i="4"/>
  <c r="CK91" i="4" s="1"/>
  <c r="CK90" i="4" s="1"/>
  <c r="CK89" i="4" s="1"/>
  <c r="CK88" i="4" s="1"/>
  <c r="CK87" i="4" s="1"/>
  <c r="CK86" i="4" s="1"/>
  <c r="CK85" i="4" s="1"/>
  <c r="CK84" i="4" s="1"/>
  <c r="CK83" i="4" s="1"/>
  <c r="CK82" i="4" s="1"/>
  <c r="CK81" i="4" s="1"/>
  <c r="CK80" i="4" s="1"/>
  <c r="CK79" i="4" s="1"/>
  <c r="CK78" i="4" s="1"/>
  <c r="CK77" i="4" s="1"/>
  <c r="CK76" i="4" s="1"/>
  <c r="CK75" i="4" s="1"/>
  <c r="CK74" i="4" s="1"/>
  <c r="CK73" i="4" s="1"/>
  <c r="CK72" i="4" s="1"/>
  <c r="CK71" i="4" s="1"/>
  <c r="CK70" i="4" s="1"/>
  <c r="CK69" i="4" s="1"/>
  <c r="CK68" i="4" s="1"/>
  <c r="CK67" i="4" s="1"/>
  <c r="CK66" i="4" s="1"/>
  <c r="CK65" i="4" s="1"/>
  <c r="CK64" i="4" s="1"/>
  <c r="CL92" i="4"/>
  <c r="CL91" i="4" s="1"/>
  <c r="CL90" i="4" s="1"/>
  <c r="CL89" i="4" s="1"/>
  <c r="CL88" i="4" s="1"/>
  <c r="CL87" i="4" s="1"/>
  <c r="CL86" i="4" s="1"/>
  <c r="CL85" i="4" s="1"/>
  <c r="CL84" i="4" s="1"/>
  <c r="CL83" i="4" s="1"/>
  <c r="CL82" i="4" s="1"/>
  <c r="CL81" i="4" s="1"/>
  <c r="CL80" i="4" s="1"/>
  <c r="CL79" i="4" s="1"/>
  <c r="CL78" i="4" s="1"/>
  <c r="CL77" i="4" s="1"/>
  <c r="CL76" i="4" s="1"/>
  <c r="CL75" i="4" s="1"/>
  <c r="CL74" i="4" s="1"/>
  <c r="CL73" i="4" s="1"/>
  <c r="CL72" i="4" s="1"/>
  <c r="CL71" i="4" s="1"/>
  <c r="CL70" i="4" s="1"/>
  <c r="CL69" i="4" s="1"/>
  <c r="CL68" i="4" s="1"/>
  <c r="CL67" i="4" s="1"/>
  <c r="CL66" i="4" s="1"/>
  <c r="CL65" i="4" s="1"/>
  <c r="CL64" i="4" s="1"/>
  <c r="CO92" i="4"/>
  <c r="CP92" i="4"/>
  <c r="CP91" i="4" s="1"/>
  <c r="CP90" i="4" s="1"/>
  <c r="CP89" i="4" s="1"/>
  <c r="CP88" i="4" s="1"/>
  <c r="CP87" i="4" s="1"/>
  <c r="CP86" i="4" s="1"/>
  <c r="CP85" i="4" s="1"/>
  <c r="CP84" i="4" s="1"/>
  <c r="CP83" i="4" s="1"/>
  <c r="CP82" i="4" s="1"/>
  <c r="CP81" i="4" s="1"/>
  <c r="CP80" i="4" s="1"/>
  <c r="CP79" i="4" s="1"/>
  <c r="CP78" i="4" s="1"/>
  <c r="CP77" i="4" s="1"/>
  <c r="CP76" i="4" s="1"/>
  <c r="CP75" i="4" s="1"/>
  <c r="CP74" i="4" s="1"/>
  <c r="CP73" i="4" s="1"/>
  <c r="CP72" i="4" s="1"/>
  <c r="CP71" i="4" s="1"/>
  <c r="CP70" i="4" s="1"/>
  <c r="CP69" i="4" s="1"/>
  <c r="CP68" i="4" s="1"/>
  <c r="CP67" i="4" s="1"/>
  <c r="CP66" i="4" s="1"/>
  <c r="CP65" i="4" s="1"/>
  <c r="CP64" i="4" s="1"/>
  <c r="CS92" i="4"/>
  <c r="CS91" i="4" s="1"/>
  <c r="CS90" i="4" s="1"/>
  <c r="CS89" i="4" s="1"/>
  <c r="CS88" i="4" s="1"/>
  <c r="CS87" i="4" s="1"/>
  <c r="CS86" i="4" s="1"/>
  <c r="CS85" i="4" s="1"/>
  <c r="CS84" i="4" s="1"/>
  <c r="CS83" i="4" s="1"/>
  <c r="CS82" i="4" s="1"/>
  <c r="CS81" i="4" s="1"/>
  <c r="CS80" i="4" s="1"/>
  <c r="CS79" i="4" s="1"/>
  <c r="CS78" i="4" s="1"/>
  <c r="CS77" i="4" s="1"/>
  <c r="CS76" i="4" s="1"/>
  <c r="CS75" i="4" s="1"/>
  <c r="CS74" i="4" s="1"/>
  <c r="CS73" i="4" s="1"/>
  <c r="CS72" i="4" s="1"/>
  <c r="CS71" i="4" s="1"/>
  <c r="CS70" i="4" s="1"/>
  <c r="CS69" i="4" s="1"/>
  <c r="CS68" i="4" s="1"/>
  <c r="CS67" i="4" s="1"/>
  <c r="CS66" i="4" s="1"/>
  <c r="CS65" i="4" s="1"/>
  <c r="CS64" i="4" s="1"/>
  <c r="CT92" i="4"/>
  <c r="CT91" i="4" s="1"/>
  <c r="CT90" i="4" s="1"/>
  <c r="CT89" i="4" s="1"/>
  <c r="CT88" i="4" s="1"/>
  <c r="CT87" i="4" s="1"/>
  <c r="CT86" i="4" s="1"/>
  <c r="CT85" i="4" s="1"/>
  <c r="CT84" i="4" s="1"/>
  <c r="CT83" i="4" s="1"/>
  <c r="CT82" i="4" s="1"/>
  <c r="CT81" i="4" s="1"/>
  <c r="CT80" i="4" s="1"/>
  <c r="CT79" i="4" s="1"/>
  <c r="CT78" i="4" s="1"/>
  <c r="CT77" i="4" s="1"/>
  <c r="CT76" i="4" s="1"/>
  <c r="CT75" i="4" s="1"/>
  <c r="CT74" i="4" s="1"/>
  <c r="CT73" i="4" s="1"/>
  <c r="CT72" i="4" s="1"/>
  <c r="CT71" i="4" s="1"/>
  <c r="CT70" i="4" s="1"/>
  <c r="CT69" i="4" s="1"/>
  <c r="CT68" i="4" s="1"/>
  <c r="CT67" i="4" s="1"/>
  <c r="CT66" i="4" s="1"/>
  <c r="CT65" i="4" s="1"/>
  <c r="CT64" i="4" s="1"/>
  <c r="BR92" i="4"/>
  <c r="BR91" i="4" s="1"/>
  <c r="BR90" i="4" s="1"/>
  <c r="BR89" i="4" s="1"/>
  <c r="BR88" i="4" s="1"/>
  <c r="BR87" i="4" s="1"/>
  <c r="BR86" i="4" s="1"/>
  <c r="BR85" i="4" s="1"/>
  <c r="BR84" i="4" s="1"/>
  <c r="BR83" i="4" s="1"/>
  <c r="BR82" i="4" s="1"/>
  <c r="BR81" i="4" s="1"/>
  <c r="BR80" i="4" s="1"/>
  <c r="BR79" i="4" s="1"/>
  <c r="BR78" i="4" s="1"/>
  <c r="BR77" i="4" s="1"/>
  <c r="BR76" i="4" s="1"/>
  <c r="BR75" i="4" s="1"/>
  <c r="BR74" i="4" s="1"/>
  <c r="BR73" i="4" s="1"/>
  <c r="BR72" i="4" s="1"/>
  <c r="BR71" i="4" s="1"/>
  <c r="BR70" i="4" s="1"/>
  <c r="BR69" i="4" s="1"/>
  <c r="BR68" i="4" s="1"/>
  <c r="BR67" i="4" s="1"/>
  <c r="BR66" i="4" s="1"/>
  <c r="BR65" i="4" s="1"/>
  <c r="BR64" i="4" s="1"/>
  <c r="BO64" i="4"/>
  <c r="BO65" i="4"/>
  <c r="BO66" i="4"/>
  <c r="BO67" i="4"/>
  <c r="BO68" i="4"/>
  <c r="BO69" i="4"/>
  <c r="BO70" i="4"/>
  <c r="BO71" i="4"/>
  <c r="BO72" i="4"/>
  <c r="BO73" i="4"/>
  <c r="BO74" i="4"/>
  <c r="BO75" i="4"/>
  <c r="BO76" i="4"/>
  <c r="BO77" i="4"/>
  <c r="BO78" i="4"/>
  <c r="BO79" i="4"/>
  <c r="BO80" i="4"/>
  <c r="BO81" i="4"/>
  <c r="BO82" i="4"/>
  <c r="BO83" i="4"/>
  <c r="BO84" i="4"/>
  <c r="BO85" i="4"/>
  <c r="BO86" i="4"/>
  <c r="BO87" i="4"/>
  <c r="BO88" i="4"/>
  <c r="BO89" i="4"/>
  <c r="BO90" i="4"/>
  <c r="BO91" i="4"/>
  <c r="BO92" i="4"/>
  <c r="BO93" i="4"/>
  <c r="AL65" i="4"/>
  <c r="AL66" i="4"/>
  <c r="AL67" i="4"/>
  <c r="AL68" i="4"/>
  <c r="AL69" i="4"/>
  <c r="AL70" i="4"/>
  <c r="AL71" i="4"/>
  <c r="AL72" i="4"/>
  <c r="AL73" i="4"/>
  <c r="AL74" i="4"/>
  <c r="AL75" i="4"/>
  <c r="AL76" i="4"/>
  <c r="AL77" i="4"/>
  <c r="AL78" i="4"/>
  <c r="AL79" i="4"/>
  <c r="AL80" i="4"/>
  <c r="AL81" i="4"/>
  <c r="AL82" i="4"/>
  <c r="AL83" i="4"/>
  <c r="AL84" i="4"/>
  <c r="AL85" i="4"/>
  <c r="AL86" i="4"/>
  <c r="AL87" i="4"/>
  <c r="AL88" i="4"/>
  <c r="AL89" i="4"/>
  <c r="AL90" i="4"/>
  <c r="AL91" i="4"/>
  <c r="AL92" i="4"/>
  <c r="AL93" i="4"/>
  <c r="AL64" i="4"/>
  <c r="CX34" i="4"/>
  <c r="CX35" i="4"/>
  <c r="CX36" i="4"/>
  <c r="CX37" i="4"/>
  <c r="CX38" i="4"/>
  <c r="CX39" i="4"/>
  <c r="CX40" i="4"/>
  <c r="CX41" i="4"/>
  <c r="CX42" i="4"/>
  <c r="CX43" i="4"/>
  <c r="CX44" i="4"/>
  <c r="CX45" i="4"/>
  <c r="CX46" i="4"/>
  <c r="CX47" i="4"/>
  <c r="CX48" i="4"/>
  <c r="CX49" i="4"/>
  <c r="CX50" i="4"/>
  <c r="CX51" i="4"/>
  <c r="CX52" i="4"/>
  <c r="CX53" i="4"/>
  <c r="CX54" i="4"/>
  <c r="CX55" i="4"/>
  <c r="CX56" i="4"/>
  <c r="CX57" i="4"/>
  <c r="CX58" i="4"/>
  <c r="CX59" i="4"/>
  <c r="CX60" i="4"/>
  <c r="CX61" i="4"/>
  <c r="CX62" i="4"/>
  <c r="CX33" i="4"/>
  <c r="BS34" i="4"/>
  <c r="BT34" i="4" s="1"/>
  <c r="BU34" i="4" s="1"/>
  <c r="BV34" i="4" s="1"/>
  <c r="BW34" i="4" s="1"/>
  <c r="BX34" i="4" s="1"/>
  <c r="BY34" i="4" s="1"/>
  <c r="BZ34" i="4" s="1"/>
  <c r="CA34" i="4" s="1"/>
  <c r="CB34" i="4" s="1"/>
  <c r="CC34" i="4" s="1"/>
  <c r="CD34" i="4" s="1"/>
  <c r="CE34" i="4" s="1"/>
  <c r="CF34" i="4" s="1"/>
  <c r="CG34" i="4" s="1"/>
  <c r="CH34" i="4" s="1"/>
  <c r="CI34" i="4" s="1"/>
  <c r="CJ34" i="4" s="1"/>
  <c r="CK34" i="4" s="1"/>
  <c r="CL34" i="4" s="1"/>
  <c r="CM34" i="4" s="1"/>
  <c r="CN34" i="4" s="1"/>
  <c r="CO34" i="4" s="1"/>
  <c r="CP34" i="4" s="1"/>
  <c r="CQ34" i="4" s="1"/>
  <c r="CR34" i="4" s="1"/>
  <c r="CS34" i="4" s="1"/>
  <c r="CT34" i="4" s="1"/>
  <c r="CU34" i="4" s="1"/>
  <c r="BS35" i="4"/>
  <c r="BT35" i="4"/>
  <c r="BU35" i="4"/>
  <c r="BV35" i="4" s="1"/>
  <c r="BW35" i="4" s="1"/>
  <c r="BX35" i="4" s="1"/>
  <c r="BY35" i="4"/>
  <c r="BZ35" i="4" s="1"/>
  <c r="CA35" i="4" s="1"/>
  <c r="CB35" i="4" s="1"/>
  <c r="CC35" i="4" s="1"/>
  <c r="CD35" i="4" s="1"/>
  <c r="CE35" i="4" s="1"/>
  <c r="CF35" i="4" s="1"/>
  <c r="CG35" i="4" s="1"/>
  <c r="CH35" i="4" s="1"/>
  <c r="CI35" i="4" s="1"/>
  <c r="CJ35" i="4" s="1"/>
  <c r="CK35" i="4" s="1"/>
  <c r="CL35" i="4" s="1"/>
  <c r="CM35" i="4" s="1"/>
  <c r="CN35" i="4" s="1"/>
  <c r="CO35" i="4"/>
  <c r="CP35" i="4" s="1"/>
  <c r="CQ35" i="4" s="1"/>
  <c r="CR35" i="4" s="1"/>
  <c r="CS35" i="4" s="1"/>
  <c r="CT35" i="4" s="1"/>
  <c r="CU35" i="4" s="1"/>
  <c r="BS36" i="4"/>
  <c r="BT36" i="4"/>
  <c r="BU36" i="4" s="1"/>
  <c r="BV36" i="4" s="1"/>
  <c r="BW36" i="4" s="1"/>
  <c r="BX36" i="4"/>
  <c r="BY36" i="4" s="1"/>
  <c r="BZ36" i="4" s="1"/>
  <c r="CA36" i="4" s="1"/>
  <c r="CB36" i="4" s="1"/>
  <c r="CC36" i="4" s="1"/>
  <c r="CD36" i="4" s="1"/>
  <c r="CE36" i="4" s="1"/>
  <c r="CF36" i="4" s="1"/>
  <c r="CG36" i="4" s="1"/>
  <c r="CH36" i="4" s="1"/>
  <c r="CI36" i="4" s="1"/>
  <c r="CJ36" i="4" s="1"/>
  <c r="CK36" i="4" s="1"/>
  <c r="CL36" i="4" s="1"/>
  <c r="CM36" i="4" s="1"/>
  <c r="CN36" i="4"/>
  <c r="CO36" i="4" s="1"/>
  <c r="CP36" i="4" s="1"/>
  <c r="CQ36" i="4" s="1"/>
  <c r="CR36" i="4" s="1"/>
  <c r="CS36" i="4" s="1"/>
  <c r="CT36" i="4" s="1"/>
  <c r="CU36" i="4" s="1"/>
  <c r="BS37" i="4"/>
  <c r="BT37" i="4" s="1"/>
  <c r="BU37" i="4" s="1"/>
  <c r="BV37" i="4" s="1"/>
  <c r="BW37" i="4"/>
  <c r="BX37" i="4" s="1"/>
  <c r="BY37" i="4" s="1"/>
  <c r="BZ37" i="4" s="1"/>
  <c r="CA37" i="4"/>
  <c r="CB37" i="4" s="1"/>
  <c r="CC37" i="4" s="1"/>
  <c r="CD37" i="4" s="1"/>
  <c r="CE37" i="4" s="1"/>
  <c r="CF37" i="4" s="1"/>
  <c r="CG37" i="4" s="1"/>
  <c r="CH37" i="4" s="1"/>
  <c r="CI37" i="4" s="1"/>
  <c r="CJ37" i="4" s="1"/>
  <c r="CK37" i="4" s="1"/>
  <c r="CL37" i="4" s="1"/>
  <c r="CM37" i="4" s="1"/>
  <c r="CN37" i="4" s="1"/>
  <c r="CO37" i="4" s="1"/>
  <c r="CP37" i="4" s="1"/>
  <c r="CQ37" i="4"/>
  <c r="CR37" i="4" s="1"/>
  <c r="CS37" i="4" s="1"/>
  <c r="CT37" i="4" s="1"/>
  <c r="CU37" i="4" s="1"/>
  <c r="BS38" i="4"/>
  <c r="BT38" i="4" s="1"/>
  <c r="BU38" i="4" s="1"/>
  <c r="BV38" i="4"/>
  <c r="BW38" i="4" s="1"/>
  <c r="BX38" i="4" s="1"/>
  <c r="BY38" i="4" s="1"/>
  <c r="BZ38" i="4"/>
  <c r="CA38" i="4" s="1"/>
  <c r="CB38" i="4" s="1"/>
  <c r="CC38" i="4" s="1"/>
  <c r="CD38" i="4" s="1"/>
  <c r="CE38" i="4" s="1"/>
  <c r="CF38" i="4" s="1"/>
  <c r="CG38" i="4" s="1"/>
  <c r="CH38" i="4" s="1"/>
  <c r="CI38" i="4" s="1"/>
  <c r="CJ38" i="4" s="1"/>
  <c r="CK38" i="4" s="1"/>
  <c r="CL38" i="4" s="1"/>
  <c r="CM38" i="4" s="1"/>
  <c r="CN38" i="4" s="1"/>
  <c r="CO38" i="4" s="1"/>
  <c r="CP38" i="4"/>
  <c r="CQ38" i="4" s="1"/>
  <c r="CR38" i="4" s="1"/>
  <c r="CS38" i="4" s="1"/>
  <c r="CT38" i="4" s="1"/>
  <c r="CU38" i="4" s="1"/>
  <c r="BS39" i="4"/>
  <c r="BT39" i="4" s="1"/>
  <c r="BU39" i="4"/>
  <c r="BV39" i="4" s="1"/>
  <c r="BW39" i="4" s="1"/>
  <c r="BX39" i="4" s="1"/>
  <c r="BY39" i="4"/>
  <c r="BZ39" i="4" s="1"/>
  <c r="CA39" i="4" s="1"/>
  <c r="CB39" i="4" s="1"/>
  <c r="CC39" i="4" s="1"/>
  <c r="CD39" i="4" s="1"/>
  <c r="CE39" i="4" s="1"/>
  <c r="CF39" i="4" s="1"/>
  <c r="CG39" i="4" s="1"/>
  <c r="CH39" i="4" s="1"/>
  <c r="CI39" i="4" s="1"/>
  <c r="CJ39" i="4" s="1"/>
  <c r="CK39" i="4" s="1"/>
  <c r="CL39" i="4" s="1"/>
  <c r="CM39" i="4" s="1"/>
  <c r="CN39" i="4" s="1"/>
  <c r="CO39" i="4" s="1"/>
  <c r="CP39" i="4" s="1"/>
  <c r="CQ39" i="4" s="1"/>
  <c r="CR39" i="4" s="1"/>
  <c r="CS39" i="4" s="1"/>
  <c r="CT39" i="4" s="1"/>
  <c r="CU39" i="4" s="1"/>
  <c r="BS40" i="4"/>
  <c r="BT40" i="4"/>
  <c r="BU40" i="4" s="1"/>
  <c r="BV40" i="4" s="1"/>
  <c r="BW40" i="4" s="1"/>
  <c r="BX40" i="4"/>
  <c r="BY40" i="4" s="1"/>
  <c r="BZ40" i="4" s="1"/>
  <c r="CA40" i="4" s="1"/>
  <c r="CB40" i="4" s="1"/>
  <c r="CC40" i="4" s="1"/>
  <c r="CD40" i="4" s="1"/>
  <c r="CE40" i="4" s="1"/>
  <c r="CF40" i="4" s="1"/>
  <c r="CG40" i="4" s="1"/>
  <c r="CH40" i="4" s="1"/>
  <c r="CI40" i="4" s="1"/>
  <c r="CJ40" i="4" s="1"/>
  <c r="CK40" i="4" s="1"/>
  <c r="CL40" i="4" s="1"/>
  <c r="CM40" i="4" s="1"/>
  <c r="CN40" i="4" s="1"/>
  <c r="CO40" i="4" s="1"/>
  <c r="CP40" i="4" s="1"/>
  <c r="CQ40" i="4" s="1"/>
  <c r="CR40" i="4" s="1"/>
  <c r="CS40" i="4" s="1"/>
  <c r="CT40" i="4" s="1"/>
  <c r="CU40" i="4" s="1"/>
  <c r="BS41" i="4"/>
  <c r="BT41" i="4" s="1"/>
  <c r="BU41" i="4" s="1"/>
  <c r="BV41" i="4" s="1"/>
  <c r="BW41" i="4"/>
  <c r="BX41" i="4" s="1"/>
  <c r="BY41" i="4" s="1"/>
  <c r="BZ41" i="4" s="1"/>
  <c r="CA41" i="4"/>
  <c r="CB41" i="4" s="1"/>
  <c r="CC41" i="4" s="1"/>
  <c r="CD41" i="4" s="1"/>
  <c r="CE41" i="4" s="1"/>
  <c r="CF41" i="4" s="1"/>
  <c r="CG41" i="4" s="1"/>
  <c r="CH41" i="4" s="1"/>
  <c r="CI41" i="4" s="1"/>
  <c r="CJ41" i="4" s="1"/>
  <c r="CK41" i="4" s="1"/>
  <c r="CL41" i="4" s="1"/>
  <c r="CM41" i="4" s="1"/>
  <c r="CN41" i="4" s="1"/>
  <c r="CO41" i="4" s="1"/>
  <c r="CP41" i="4" s="1"/>
  <c r="CQ41" i="4" s="1"/>
  <c r="CR41" i="4" s="1"/>
  <c r="CS41" i="4" s="1"/>
  <c r="CT41" i="4" s="1"/>
  <c r="CU41" i="4" s="1"/>
  <c r="BS42" i="4"/>
  <c r="BT42" i="4" s="1"/>
  <c r="BU42" i="4" s="1"/>
  <c r="BV42" i="4"/>
  <c r="BW42" i="4" s="1"/>
  <c r="BX42" i="4" s="1"/>
  <c r="BY42" i="4" s="1"/>
  <c r="BZ42" i="4"/>
  <c r="CA42" i="4" s="1"/>
  <c r="CB42" i="4" s="1"/>
  <c r="CC42" i="4" s="1"/>
  <c r="CD42" i="4" s="1"/>
  <c r="CE42" i="4" s="1"/>
  <c r="CF42" i="4" s="1"/>
  <c r="CG42" i="4" s="1"/>
  <c r="CH42" i="4" s="1"/>
  <c r="CI42" i="4" s="1"/>
  <c r="CJ42" i="4" s="1"/>
  <c r="CK42" i="4" s="1"/>
  <c r="CL42" i="4" s="1"/>
  <c r="CM42" i="4" s="1"/>
  <c r="CN42" i="4" s="1"/>
  <c r="CO42" i="4" s="1"/>
  <c r="CP42" i="4" s="1"/>
  <c r="CQ42" i="4" s="1"/>
  <c r="CR42" i="4" s="1"/>
  <c r="CS42" i="4" s="1"/>
  <c r="CT42" i="4" s="1"/>
  <c r="CU42" i="4" s="1"/>
  <c r="BS43" i="4"/>
  <c r="BT43" i="4" s="1"/>
  <c r="BU43" i="4"/>
  <c r="BV43" i="4" s="1"/>
  <c r="BW43" i="4" s="1"/>
  <c r="BX43" i="4" s="1"/>
  <c r="BY43" i="4"/>
  <c r="BZ43" i="4" s="1"/>
  <c r="CA43" i="4" s="1"/>
  <c r="CB43" i="4" s="1"/>
  <c r="CC43" i="4" s="1"/>
  <c r="CD43" i="4" s="1"/>
  <c r="CE43" i="4" s="1"/>
  <c r="CF43" i="4" s="1"/>
  <c r="CG43" i="4" s="1"/>
  <c r="CH43" i="4" s="1"/>
  <c r="CI43" i="4" s="1"/>
  <c r="CJ43" i="4" s="1"/>
  <c r="CK43" i="4" s="1"/>
  <c r="CL43" i="4" s="1"/>
  <c r="CM43" i="4" s="1"/>
  <c r="CN43" i="4" s="1"/>
  <c r="CO43" i="4" s="1"/>
  <c r="CP43" i="4" s="1"/>
  <c r="CQ43" i="4" s="1"/>
  <c r="CR43" i="4" s="1"/>
  <c r="CS43" i="4" s="1"/>
  <c r="CT43" i="4" s="1"/>
  <c r="CU43" i="4" s="1"/>
  <c r="BS44" i="4"/>
  <c r="BT44" i="4"/>
  <c r="BU44" i="4" s="1"/>
  <c r="BV44" i="4" s="1"/>
  <c r="BW44" i="4" s="1"/>
  <c r="BX44" i="4"/>
  <c r="BY44" i="4" s="1"/>
  <c r="BZ44" i="4" s="1"/>
  <c r="CA44" i="4" s="1"/>
  <c r="CB44" i="4" s="1"/>
  <c r="CC44" i="4" s="1"/>
  <c r="CD44" i="4" s="1"/>
  <c r="CE44" i="4" s="1"/>
  <c r="CF44" i="4" s="1"/>
  <c r="CG44" i="4" s="1"/>
  <c r="CH44" i="4" s="1"/>
  <c r="CI44" i="4" s="1"/>
  <c r="CJ44" i="4" s="1"/>
  <c r="CK44" i="4" s="1"/>
  <c r="CL44" i="4" s="1"/>
  <c r="CM44" i="4" s="1"/>
  <c r="CN44" i="4" s="1"/>
  <c r="CO44" i="4" s="1"/>
  <c r="CP44" i="4" s="1"/>
  <c r="CQ44" i="4" s="1"/>
  <c r="CR44" i="4" s="1"/>
  <c r="CS44" i="4" s="1"/>
  <c r="CT44" i="4" s="1"/>
  <c r="CU44" i="4" s="1"/>
  <c r="BS45" i="4"/>
  <c r="BT45" i="4" s="1"/>
  <c r="BU45" i="4" s="1"/>
  <c r="BV45" i="4" s="1"/>
  <c r="BW45" i="4"/>
  <c r="BX45" i="4" s="1"/>
  <c r="BY45" i="4" s="1"/>
  <c r="BZ45" i="4" s="1"/>
  <c r="CA45" i="4"/>
  <c r="CB45" i="4" s="1"/>
  <c r="CC45" i="4" s="1"/>
  <c r="CD45" i="4" s="1"/>
  <c r="CE45" i="4" s="1"/>
  <c r="CF45" i="4" s="1"/>
  <c r="CG45" i="4" s="1"/>
  <c r="CH45" i="4" s="1"/>
  <c r="CI45" i="4" s="1"/>
  <c r="CJ45" i="4" s="1"/>
  <c r="CK45" i="4" s="1"/>
  <c r="CL45" i="4" s="1"/>
  <c r="CM45" i="4" s="1"/>
  <c r="CN45" i="4" s="1"/>
  <c r="CO45" i="4" s="1"/>
  <c r="CP45" i="4" s="1"/>
  <c r="CQ45" i="4" s="1"/>
  <c r="CR45" i="4" s="1"/>
  <c r="CS45" i="4" s="1"/>
  <c r="CT45" i="4" s="1"/>
  <c r="CU45" i="4" s="1"/>
  <c r="BS46" i="4"/>
  <c r="BT46" i="4"/>
  <c r="BU46" i="4" s="1"/>
  <c r="BV46" i="4"/>
  <c r="BW46" i="4" s="1"/>
  <c r="BX46" i="4" s="1"/>
  <c r="BY46" i="4" s="1"/>
  <c r="BZ46" i="4" s="1"/>
  <c r="CA46" i="4" s="1"/>
  <c r="CB46" i="4" s="1"/>
  <c r="CC46" i="4" s="1"/>
  <c r="CD46" i="4" s="1"/>
  <c r="CE46" i="4" s="1"/>
  <c r="CF46" i="4" s="1"/>
  <c r="CG46" i="4" s="1"/>
  <c r="CH46" i="4" s="1"/>
  <c r="CI46" i="4" s="1"/>
  <c r="CJ46" i="4" s="1"/>
  <c r="CK46" i="4" s="1"/>
  <c r="CL46" i="4" s="1"/>
  <c r="CM46" i="4" s="1"/>
  <c r="CN46" i="4" s="1"/>
  <c r="CO46" i="4" s="1"/>
  <c r="CP46" i="4" s="1"/>
  <c r="CQ46" i="4" s="1"/>
  <c r="CR46" i="4" s="1"/>
  <c r="CS46" i="4" s="1"/>
  <c r="CT46" i="4" s="1"/>
  <c r="CU46" i="4" s="1"/>
  <c r="BS47" i="4"/>
  <c r="BT47" i="4" s="1"/>
  <c r="BU47" i="4" s="1"/>
  <c r="BV47" i="4"/>
  <c r="BW47" i="4" s="1"/>
  <c r="BX47" i="4" s="1"/>
  <c r="BY47" i="4" s="1"/>
  <c r="BZ47" i="4" s="1"/>
  <c r="CA47" i="4"/>
  <c r="CB47" i="4" s="1"/>
  <c r="CC47" i="4" s="1"/>
  <c r="CD47" i="4" s="1"/>
  <c r="CE47" i="4" s="1"/>
  <c r="CF47" i="4" s="1"/>
  <c r="CG47" i="4" s="1"/>
  <c r="CH47" i="4" s="1"/>
  <c r="CI47" i="4" s="1"/>
  <c r="CJ47" i="4" s="1"/>
  <c r="CK47" i="4" s="1"/>
  <c r="CL47" i="4" s="1"/>
  <c r="CM47" i="4" s="1"/>
  <c r="CN47" i="4" s="1"/>
  <c r="CO47" i="4" s="1"/>
  <c r="CP47" i="4" s="1"/>
  <c r="CQ47" i="4" s="1"/>
  <c r="CR47" i="4" s="1"/>
  <c r="CS47" i="4" s="1"/>
  <c r="CT47" i="4" s="1"/>
  <c r="CU47" i="4" s="1"/>
  <c r="BS48" i="4"/>
  <c r="BT48" i="4"/>
  <c r="BU48" i="4"/>
  <c r="BV48" i="4" s="1"/>
  <c r="BW48" i="4" s="1"/>
  <c r="BX48" i="4" s="1"/>
  <c r="BY48" i="4" s="1"/>
  <c r="BZ48" i="4" s="1"/>
  <c r="CA48" i="4" s="1"/>
  <c r="CB48" i="4" s="1"/>
  <c r="CC48" i="4" s="1"/>
  <c r="CD48" i="4" s="1"/>
  <c r="CE48" i="4" s="1"/>
  <c r="CF48" i="4" s="1"/>
  <c r="CG48" i="4" s="1"/>
  <c r="CH48" i="4" s="1"/>
  <c r="CI48" i="4" s="1"/>
  <c r="CJ48" i="4" s="1"/>
  <c r="CK48" i="4" s="1"/>
  <c r="CL48" i="4" s="1"/>
  <c r="CM48" i="4" s="1"/>
  <c r="CN48" i="4" s="1"/>
  <c r="CO48" i="4" s="1"/>
  <c r="CP48" i="4" s="1"/>
  <c r="CQ48" i="4" s="1"/>
  <c r="CR48" i="4" s="1"/>
  <c r="CS48" i="4" s="1"/>
  <c r="CT48" i="4" s="1"/>
  <c r="CU48" i="4" s="1"/>
  <c r="BS49" i="4"/>
  <c r="BT49" i="4"/>
  <c r="BU49" i="4" s="1"/>
  <c r="BV49" i="4" s="1"/>
  <c r="BW49" i="4" s="1"/>
  <c r="BX49" i="4" s="1"/>
  <c r="BY49" i="4" s="1"/>
  <c r="BZ49" i="4" s="1"/>
  <c r="CA49" i="4" s="1"/>
  <c r="CB49" i="4" s="1"/>
  <c r="CC49" i="4" s="1"/>
  <c r="CD49" i="4" s="1"/>
  <c r="CE49" i="4" s="1"/>
  <c r="CF49" i="4" s="1"/>
  <c r="CG49" i="4" s="1"/>
  <c r="CH49" i="4" s="1"/>
  <c r="CI49" i="4" s="1"/>
  <c r="CJ49" i="4" s="1"/>
  <c r="CK49" i="4" s="1"/>
  <c r="CL49" i="4" s="1"/>
  <c r="CM49" i="4" s="1"/>
  <c r="CN49" i="4" s="1"/>
  <c r="CO49" i="4" s="1"/>
  <c r="CP49" i="4" s="1"/>
  <c r="CQ49" i="4" s="1"/>
  <c r="CR49" i="4" s="1"/>
  <c r="CS49" i="4" s="1"/>
  <c r="CT49" i="4" s="1"/>
  <c r="CU49" i="4" s="1"/>
  <c r="BS50" i="4"/>
  <c r="BT50" i="4" s="1"/>
  <c r="BU50" i="4" s="1"/>
  <c r="BV50" i="4" s="1"/>
  <c r="BW50" i="4" s="1"/>
  <c r="BX50" i="4" s="1"/>
  <c r="BY50" i="4" s="1"/>
  <c r="BZ50" i="4" s="1"/>
  <c r="CA50" i="4" s="1"/>
  <c r="CB50" i="4" s="1"/>
  <c r="CC50" i="4" s="1"/>
  <c r="CD50" i="4" s="1"/>
  <c r="CE50" i="4" s="1"/>
  <c r="CF50" i="4" s="1"/>
  <c r="CG50" i="4" s="1"/>
  <c r="CH50" i="4" s="1"/>
  <c r="CI50" i="4" s="1"/>
  <c r="CJ50" i="4" s="1"/>
  <c r="CK50" i="4" s="1"/>
  <c r="CL50" i="4" s="1"/>
  <c r="CM50" i="4" s="1"/>
  <c r="CN50" i="4" s="1"/>
  <c r="CO50" i="4" s="1"/>
  <c r="CP50" i="4" s="1"/>
  <c r="CQ50" i="4" s="1"/>
  <c r="CR50" i="4" s="1"/>
  <c r="CS50" i="4" s="1"/>
  <c r="CT50" i="4" s="1"/>
  <c r="CU50" i="4" s="1"/>
  <c r="BS51" i="4"/>
  <c r="BT51" i="4" s="1"/>
  <c r="BU51" i="4" s="1"/>
  <c r="BV51" i="4" s="1"/>
  <c r="BW51" i="4" s="1"/>
  <c r="BX51" i="4" s="1"/>
  <c r="BY51" i="4" s="1"/>
  <c r="BZ51" i="4" s="1"/>
  <c r="CA51" i="4" s="1"/>
  <c r="CB51" i="4" s="1"/>
  <c r="CC51" i="4" s="1"/>
  <c r="CD51" i="4" s="1"/>
  <c r="CE51" i="4" s="1"/>
  <c r="CF51" i="4" s="1"/>
  <c r="CG51" i="4" s="1"/>
  <c r="CH51" i="4" s="1"/>
  <c r="CI51" i="4" s="1"/>
  <c r="CJ51" i="4" s="1"/>
  <c r="CK51" i="4" s="1"/>
  <c r="CL51" i="4" s="1"/>
  <c r="CM51" i="4" s="1"/>
  <c r="CN51" i="4" s="1"/>
  <c r="CO51" i="4" s="1"/>
  <c r="CP51" i="4" s="1"/>
  <c r="CQ51" i="4" s="1"/>
  <c r="CR51" i="4" s="1"/>
  <c r="CS51" i="4" s="1"/>
  <c r="CT51" i="4" s="1"/>
  <c r="CU51" i="4" s="1"/>
  <c r="BS52" i="4"/>
  <c r="BT52" i="4"/>
  <c r="BU52" i="4"/>
  <c r="BV52" i="4" s="1"/>
  <c r="BW52" i="4" s="1"/>
  <c r="BX52" i="4" s="1"/>
  <c r="BY52" i="4"/>
  <c r="BZ52" i="4" s="1"/>
  <c r="CA52" i="4" s="1"/>
  <c r="CB52" i="4" s="1"/>
  <c r="CC52" i="4" s="1"/>
  <c r="CD52" i="4" s="1"/>
  <c r="CE52" i="4" s="1"/>
  <c r="CF52" i="4" s="1"/>
  <c r="CG52" i="4" s="1"/>
  <c r="CH52" i="4" s="1"/>
  <c r="CI52" i="4" s="1"/>
  <c r="CJ52" i="4" s="1"/>
  <c r="CK52" i="4" s="1"/>
  <c r="CL52" i="4" s="1"/>
  <c r="CM52" i="4" s="1"/>
  <c r="CN52" i="4" s="1"/>
  <c r="CO52" i="4" s="1"/>
  <c r="CP52" i="4" s="1"/>
  <c r="CQ52" i="4" s="1"/>
  <c r="CR52" i="4" s="1"/>
  <c r="CS52" i="4" s="1"/>
  <c r="CT52" i="4" s="1"/>
  <c r="CU52" i="4" s="1"/>
  <c r="BS53" i="4"/>
  <c r="BT53" i="4" s="1"/>
  <c r="BU53" i="4" s="1"/>
  <c r="BV53" i="4" s="1"/>
  <c r="BW53" i="4" s="1"/>
  <c r="BX53" i="4" s="1"/>
  <c r="BY53" i="4" s="1"/>
  <c r="BZ53" i="4" s="1"/>
  <c r="CA53" i="4" s="1"/>
  <c r="CB53" i="4" s="1"/>
  <c r="CC53" i="4" s="1"/>
  <c r="CD53" i="4" s="1"/>
  <c r="CE53" i="4" s="1"/>
  <c r="CF53" i="4" s="1"/>
  <c r="CG53" i="4" s="1"/>
  <c r="CH53" i="4" s="1"/>
  <c r="CI53" i="4" s="1"/>
  <c r="CJ53" i="4" s="1"/>
  <c r="CK53" i="4" s="1"/>
  <c r="CL53" i="4" s="1"/>
  <c r="CM53" i="4" s="1"/>
  <c r="CN53" i="4" s="1"/>
  <c r="CO53" i="4" s="1"/>
  <c r="CP53" i="4" s="1"/>
  <c r="CQ53" i="4" s="1"/>
  <c r="CR53" i="4" s="1"/>
  <c r="CS53" i="4" s="1"/>
  <c r="CT53" i="4" s="1"/>
  <c r="CU53" i="4" s="1"/>
  <c r="BS54" i="4"/>
  <c r="BT54" i="4"/>
  <c r="BU54" i="4" s="1"/>
  <c r="BV54" i="4" s="1"/>
  <c r="BW54" i="4" s="1"/>
  <c r="BX54" i="4" s="1"/>
  <c r="BY54" i="4" s="1"/>
  <c r="BZ54" i="4" s="1"/>
  <c r="CA54" i="4" s="1"/>
  <c r="CB54" i="4" s="1"/>
  <c r="CC54" i="4" s="1"/>
  <c r="CD54" i="4" s="1"/>
  <c r="CE54" i="4" s="1"/>
  <c r="CF54" i="4" s="1"/>
  <c r="CG54" i="4" s="1"/>
  <c r="CH54" i="4" s="1"/>
  <c r="CI54" i="4" s="1"/>
  <c r="CJ54" i="4" s="1"/>
  <c r="CK54" i="4" s="1"/>
  <c r="CL54" i="4" s="1"/>
  <c r="CM54" i="4" s="1"/>
  <c r="CN54" i="4" s="1"/>
  <c r="CO54" i="4" s="1"/>
  <c r="CP54" i="4" s="1"/>
  <c r="CQ54" i="4" s="1"/>
  <c r="CR54" i="4" s="1"/>
  <c r="CS54" i="4" s="1"/>
  <c r="CT54" i="4" s="1"/>
  <c r="CU54" i="4" s="1"/>
  <c r="BS55" i="4"/>
  <c r="BT55" i="4" s="1"/>
  <c r="BU55" i="4" s="1"/>
  <c r="BV55" i="4" s="1"/>
  <c r="BW55" i="4" s="1"/>
  <c r="BX55" i="4" s="1"/>
  <c r="BY55" i="4" s="1"/>
  <c r="BZ55" i="4" s="1"/>
  <c r="CA55" i="4" s="1"/>
  <c r="CB55" i="4" s="1"/>
  <c r="CC55" i="4" s="1"/>
  <c r="CD55" i="4" s="1"/>
  <c r="CE55" i="4" s="1"/>
  <c r="CF55" i="4" s="1"/>
  <c r="CG55" i="4" s="1"/>
  <c r="CH55" i="4" s="1"/>
  <c r="CI55" i="4" s="1"/>
  <c r="CJ55" i="4" s="1"/>
  <c r="CK55" i="4" s="1"/>
  <c r="CL55" i="4" s="1"/>
  <c r="CM55" i="4" s="1"/>
  <c r="CN55" i="4" s="1"/>
  <c r="CO55" i="4" s="1"/>
  <c r="CP55" i="4" s="1"/>
  <c r="CQ55" i="4" s="1"/>
  <c r="CR55" i="4" s="1"/>
  <c r="CS55" i="4" s="1"/>
  <c r="CT55" i="4" s="1"/>
  <c r="CU55" i="4" s="1"/>
  <c r="BS56" i="4"/>
  <c r="BT56" i="4" s="1"/>
  <c r="BU56" i="4"/>
  <c r="BV56" i="4" s="1"/>
  <c r="BW56" i="4" s="1"/>
  <c r="BX56" i="4" s="1"/>
  <c r="BY56" i="4" s="1"/>
  <c r="BZ56" i="4" s="1"/>
  <c r="CA56" i="4" s="1"/>
  <c r="CB56" i="4" s="1"/>
  <c r="CC56" i="4" s="1"/>
  <c r="CD56" i="4" s="1"/>
  <c r="CE56" i="4" s="1"/>
  <c r="CF56" i="4" s="1"/>
  <c r="CG56" i="4" s="1"/>
  <c r="CH56" i="4" s="1"/>
  <c r="CI56" i="4" s="1"/>
  <c r="CJ56" i="4" s="1"/>
  <c r="CK56" i="4" s="1"/>
  <c r="CL56" i="4" s="1"/>
  <c r="CM56" i="4" s="1"/>
  <c r="CN56" i="4" s="1"/>
  <c r="CO56" i="4" s="1"/>
  <c r="CP56" i="4" s="1"/>
  <c r="CQ56" i="4" s="1"/>
  <c r="CR56" i="4" s="1"/>
  <c r="CS56" i="4" s="1"/>
  <c r="CT56" i="4" s="1"/>
  <c r="CU56" i="4" s="1"/>
  <c r="BS57" i="4"/>
  <c r="BT57" i="4"/>
  <c r="BU57" i="4"/>
  <c r="BV57" i="4" s="1"/>
  <c r="BW57" i="4" s="1"/>
  <c r="BX57" i="4" s="1"/>
  <c r="BY57" i="4" s="1"/>
  <c r="BZ57" i="4" s="1"/>
  <c r="CA57" i="4" s="1"/>
  <c r="CB57" i="4" s="1"/>
  <c r="CC57" i="4" s="1"/>
  <c r="CD57" i="4" s="1"/>
  <c r="CE57" i="4" s="1"/>
  <c r="CF57" i="4" s="1"/>
  <c r="CG57" i="4" s="1"/>
  <c r="CH57" i="4" s="1"/>
  <c r="CI57" i="4" s="1"/>
  <c r="CJ57" i="4" s="1"/>
  <c r="CK57" i="4" s="1"/>
  <c r="CL57" i="4" s="1"/>
  <c r="CM57" i="4" s="1"/>
  <c r="CN57" i="4" s="1"/>
  <c r="CO57" i="4" s="1"/>
  <c r="CP57" i="4" s="1"/>
  <c r="CQ57" i="4" s="1"/>
  <c r="CR57" i="4" s="1"/>
  <c r="CS57" i="4" s="1"/>
  <c r="CT57" i="4" s="1"/>
  <c r="CU57" i="4" s="1"/>
  <c r="BS58" i="4"/>
  <c r="BT58" i="4" s="1"/>
  <c r="BU58" i="4" s="1"/>
  <c r="BV58" i="4" s="1"/>
  <c r="BW58" i="4" s="1"/>
  <c r="BX58" i="4" s="1"/>
  <c r="BY58" i="4" s="1"/>
  <c r="BZ58" i="4" s="1"/>
  <c r="CA58" i="4" s="1"/>
  <c r="CB58" i="4" s="1"/>
  <c r="CC58" i="4" s="1"/>
  <c r="CD58" i="4" s="1"/>
  <c r="CE58" i="4" s="1"/>
  <c r="CF58" i="4" s="1"/>
  <c r="CG58" i="4" s="1"/>
  <c r="CH58" i="4" s="1"/>
  <c r="CI58" i="4" s="1"/>
  <c r="CJ58" i="4" s="1"/>
  <c r="CK58" i="4" s="1"/>
  <c r="CL58" i="4" s="1"/>
  <c r="CM58" i="4" s="1"/>
  <c r="CN58" i="4" s="1"/>
  <c r="CO58" i="4" s="1"/>
  <c r="CP58" i="4" s="1"/>
  <c r="CQ58" i="4" s="1"/>
  <c r="CR58" i="4" s="1"/>
  <c r="CS58" i="4" s="1"/>
  <c r="CT58" i="4" s="1"/>
  <c r="CU58" i="4" s="1"/>
  <c r="BS59" i="4"/>
  <c r="BT59" i="4" s="1"/>
  <c r="BU59" i="4" s="1"/>
  <c r="BV59" i="4" s="1"/>
  <c r="BW59" i="4" s="1"/>
  <c r="BX59" i="4" s="1"/>
  <c r="BY59" i="4" s="1"/>
  <c r="BZ59" i="4" s="1"/>
  <c r="CA59" i="4" s="1"/>
  <c r="CB59" i="4" s="1"/>
  <c r="CC59" i="4" s="1"/>
  <c r="CD59" i="4" s="1"/>
  <c r="CE59" i="4" s="1"/>
  <c r="CF59" i="4" s="1"/>
  <c r="CG59" i="4" s="1"/>
  <c r="CH59" i="4" s="1"/>
  <c r="CI59" i="4" s="1"/>
  <c r="CJ59" i="4" s="1"/>
  <c r="CK59" i="4" s="1"/>
  <c r="CL59" i="4" s="1"/>
  <c r="CM59" i="4" s="1"/>
  <c r="CN59" i="4" s="1"/>
  <c r="CO59" i="4" s="1"/>
  <c r="CP59" i="4" s="1"/>
  <c r="CQ59" i="4" s="1"/>
  <c r="CR59" i="4" s="1"/>
  <c r="CS59" i="4" s="1"/>
  <c r="CT59" i="4" s="1"/>
  <c r="CU59" i="4" s="1"/>
  <c r="BS60" i="4"/>
  <c r="BT60" i="4" s="1"/>
  <c r="BU60" i="4"/>
  <c r="BV60" i="4" s="1"/>
  <c r="BW60" i="4" s="1"/>
  <c r="BX60" i="4" s="1"/>
  <c r="BY60" i="4" s="1"/>
  <c r="BZ60" i="4" s="1"/>
  <c r="CA60" i="4" s="1"/>
  <c r="CB60" i="4" s="1"/>
  <c r="CC60" i="4" s="1"/>
  <c r="CD60" i="4" s="1"/>
  <c r="CE60" i="4" s="1"/>
  <c r="CF60" i="4" s="1"/>
  <c r="CG60" i="4" s="1"/>
  <c r="CH60" i="4" s="1"/>
  <c r="CI60" i="4" s="1"/>
  <c r="CJ60" i="4" s="1"/>
  <c r="CK60" i="4" s="1"/>
  <c r="CL60" i="4" s="1"/>
  <c r="CM60" i="4" s="1"/>
  <c r="CN60" i="4" s="1"/>
  <c r="CO60" i="4" s="1"/>
  <c r="CP60" i="4" s="1"/>
  <c r="CQ60" i="4" s="1"/>
  <c r="CR60" i="4" s="1"/>
  <c r="CS60" i="4" s="1"/>
  <c r="CT60" i="4" s="1"/>
  <c r="CU60" i="4" s="1"/>
  <c r="BS61" i="4"/>
  <c r="BT61" i="4"/>
  <c r="BU61" i="4"/>
  <c r="BV61" i="4" s="1"/>
  <c r="BW61" i="4" s="1"/>
  <c r="BX61" i="4" s="1"/>
  <c r="BY61" i="4" s="1"/>
  <c r="BZ61" i="4" s="1"/>
  <c r="CA61" i="4" s="1"/>
  <c r="CB61" i="4" s="1"/>
  <c r="CC61" i="4" s="1"/>
  <c r="CD61" i="4" s="1"/>
  <c r="CE61" i="4" s="1"/>
  <c r="CF61" i="4" s="1"/>
  <c r="CG61" i="4" s="1"/>
  <c r="CH61" i="4" s="1"/>
  <c r="CI61" i="4" s="1"/>
  <c r="CJ61" i="4" s="1"/>
  <c r="CK61" i="4" s="1"/>
  <c r="CL61" i="4" s="1"/>
  <c r="CM61" i="4" s="1"/>
  <c r="CN61" i="4" s="1"/>
  <c r="CO61" i="4" s="1"/>
  <c r="CP61" i="4" s="1"/>
  <c r="CQ61" i="4" s="1"/>
  <c r="CR61" i="4" s="1"/>
  <c r="CS61" i="4" s="1"/>
  <c r="CT61" i="4" s="1"/>
  <c r="CU61" i="4" s="1"/>
  <c r="BS62" i="4"/>
  <c r="BT62" i="4" s="1"/>
  <c r="BU62" i="4" s="1"/>
  <c r="BV62" i="4" s="1"/>
  <c r="BW62" i="4" s="1"/>
  <c r="BX62" i="4" s="1"/>
  <c r="BY62" i="4" s="1"/>
  <c r="BZ62" i="4" s="1"/>
  <c r="CA62" i="4" s="1"/>
  <c r="CB62" i="4" s="1"/>
  <c r="CC62" i="4" s="1"/>
  <c r="CD62" i="4" s="1"/>
  <c r="CE62" i="4" s="1"/>
  <c r="CF62" i="4" s="1"/>
  <c r="CG62" i="4" s="1"/>
  <c r="CH62" i="4" s="1"/>
  <c r="CI62" i="4" s="1"/>
  <c r="CJ62" i="4" s="1"/>
  <c r="CK62" i="4" s="1"/>
  <c r="CL62" i="4" s="1"/>
  <c r="CM62" i="4" s="1"/>
  <c r="CN62" i="4" s="1"/>
  <c r="CO62" i="4" s="1"/>
  <c r="CP62" i="4" s="1"/>
  <c r="CQ62" i="4" s="1"/>
  <c r="CR62" i="4" s="1"/>
  <c r="CS62" i="4" s="1"/>
  <c r="CT62" i="4" s="1"/>
  <c r="CU62" i="4" s="1"/>
  <c r="BT33" i="4"/>
  <c r="BU33" i="4" s="1"/>
  <c r="BV33" i="4" s="1"/>
  <c r="BW33" i="4" s="1"/>
  <c r="BX33" i="4" s="1"/>
  <c r="BY33" i="4" s="1"/>
  <c r="BZ33" i="4" s="1"/>
  <c r="CA33" i="4" s="1"/>
  <c r="CB33" i="4" s="1"/>
  <c r="CC33" i="4" s="1"/>
  <c r="CD33" i="4" s="1"/>
  <c r="CE33" i="4" s="1"/>
  <c r="CF33" i="4" s="1"/>
  <c r="CG33" i="4" s="1"/>
  <c r="CH33" i="4" s="1"/>
  <c r="CI33" i="4" s="1"/>
  <c r="CJ33" i="4" s="1"/>
  <c r="CK33" i="4" s="1"/>
  <c r="CL33" i="4" s="1"/>
  <c r="CM33" i="4" s="1"/>
  <c r="CN33" i="4" s="1"/>
  <c r="CO33" i="4" s="1"/>
  <c r="CP33" i="4" s="1"/>
  <c r="CQ33" i="4" s="1"/>
  <c r="CR33" i="4" s="1"/>
  <c r="CS33" i="4" s="1"/>
  <c r="CT33" i="4" s="1"/>
  <c r="CU33" i="4" s="1"/>
  <c r="BS33" i="4"/>
  <c r="AM33" i="4"/>
  <c r="CY33" i="4" s="1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AN34" i="4"/>
  <c r="AO34" i="4"/>
  <c r="AP34" i="4"/>
  <c r="AR34" i="4"/>
  <c r="AS34" i="4"/>
  <c r="AT34" i="4"/>
  <c r="AV34" i="4"/>
  <c r="AW34" i="4"/>
  <c r="AX34" i="4"/>
  <c r="AZ34" i="4"/>
  <c r="BA34" i="4"/>
  <c r="BB34" i="4"/>
  <c r="BC34" i="4"/>
  <c r="BD34" i="4"/>
  <c r="BE34" i="4"/>
  <c r="BF34" i="4"/>
  <c r="BG34" i="4"/>
  <c r="BH34" i="4"/>
  <c r="BI34" i="4"/>
  <c r="BJ34" i="4"/>
  <c r="BK34" i="4"/>
  <c r="BL34" i="4"/>
  <c r="BM34" i="4"/>
  <c r="BN34" i="4"/>
  <c r="BO34" i="4"/>
  <c r="AN35" i="4"/>
  <c r="AO35" i="4"/>
  <c r="AQ35" i="4"/>
  <c r="AR35" i="4"/>
  <c r="AS35" i="4"/>
  <c r="AU35" i="4"/>
  <c r="AV35" i="4"/>
  <c r="AY35" i="4"/>
  <c r="AZ35" i="4"/>
  <c r="BA35" i="4"/>
  <c r="BC35" i="4"/>
  <c r="BD35" i="4"/>
  <c r="BE35" i="4"/>
  <c r="BF35" i="4"/>
  <c r="BG35" i="4"/>
  <c r="BH35" i="4"/>
  <c r="BI35" i="4"/>
  <c r="BJ35" i="4"/>
  <c r="BK35" i="4"/>
  <c r="BL35" i="4"/>
  <c r="BN35" i="4"/>
  <c r="BO35" i="4"/>
  <c r="AN36" i="4"/>
  <c r="AP36" i="4"/>
  <c r="AQ36" i="4"/>
  <c r="AR36" i="4"/>
  <c r="AT36" i="4"/>
  <c r="AU36" i="4"/>
  <c r="AV36" i="4"/>
  <c r="AX36" i="4"/>
  <c r="AY36" i="4"/>
  <c r="AZ36" i="4"/>
  <c r="BB36" i="4"/>
  <c r="BC36" i="4"/>
  <c r="BD36" i="4"/>
  <c r="BF36" i="4"/>
  <c r="BG36" i="4"/>
  <c r="BH36" i="4"/>
  <c r="BJ36" i="4"/>
  <c r="BK36" i="4"/>
  <c r="BL36" i="4"/>
  <c r="BN36" i="4"/>
  <c r="BO36" i="4"/>
  <c r="AP37" i="4"/>
  <c r="AQ37" i="4"/>
  <c r="AT37" i="4"/>
  <c r="AU37" i="4"/>
  <c r="AX37" i="4"/>
  <c r="AY37" i="4"/>
  <c r="BB37" i="4"/>
  <c r="BC37" i="4"/>
  <c r="BF37" i="4"/>
  <c r="BG37" i="4"/>
  <c r="BJ37" i="4"/>
  <c r="BK37" i="4"/>
  <c r="BN37" i="4"/>
  <c r="BO37" i="4"/>
  <c r="AP38" i="4"/>
  <c r="AT38" i="4"/>
  <c r="AX38" i="4"/>
  <c r="BB38" i="4"/>
  <c r="BC38" i="4"/>
  <c r="BF38" i="4"/>
  <c r="BG38" i="4"/>
  <c r="BJ38" i="4"/>
  <c r="BK38" i="4"/>
  <c r="BN38" i="4"/>
  <c r="BO38" i="4"/>
  <c r="AQ39" i="4"/>
  <c r="AU39" i="4"/>
  <c r="AY39" i="4"/>
  <c r="BC39" i="4"/>
  <c r="BF39" i="4"/>
  <c r="BG39" i="4"/>
  <c r="BJ39" i="4"/>
  <c r="BK39" i="4"/>
  <c r="BN39" i="4"/>
  <c r="BO39" i="4"/>
  <c r="AP40" i="4"/>
  <c r="AQ40" i="4"/>
  <c r="AT40" i="4"/>
  <c r="AU40" i="4"/>
  <c r="AX40" i="4"/>
  <c r="AY40" i="4"/>
  <c r="BB40" i="4"/>
  <c r="BC40" i="4"/>
  <c r="BF40" i="4"/>
  <c r="BG40" i="4"/>
  <c r="BJ40" i="4"/>
  <c r="BK40" i="4"/>
  <c r="BN40" i="4"/>
  <c r="BO40" i="4"/>
  <c r="AP41" i="4"/>
  <c r="AQ41" i="4"/>
  <c r="AT41" i="4"/>
  <c r="AU41" i="4"/>
  <c r="AX41" i="4"/>
  <c r="AY41" i="4"/>
  <c r="BB41" i="4"/>
  <c r="BC41" i="4"/>
  <c r="BF41" i="4"/>
  <c r="BG41" i="4"/>
  <c r="BJ41" i="4"/>
  <c r="BK41" i="4"/>
  <c r="BN41" i="4"/>
  <c r="BO41" i="4"/>
  <c r="AP42" i="4"/>
  <c r="AT42" i="4"/>
  <c r="AX42" i="4"/>
  <c r="AY42" i="4"/>
  <c r="BB42" i="4"/>
  <c r="BC42" i="4"/>
  <c r="BF42" i="4"/>
  <c r="BG42" i="4"/>
  <c r="BJ42" i="4"/>
  <c r="BK42" i="4"/>
  <c r="BN42" i="4"/>
  <c r="BO42" i="4"/>
  <c r="AQ43" i="4"/>
  <c r="AU43" i="4"/>
  <c r="AY43" i="4"/>
  <c r="BB43" i="4"/>
  <c r="BC43" i="4"/>
  <c r="BF43" i="4"/>
  <c r="BG43" i="4"/>
  <c r="BJ43" i="4"/>
  <c r="BK43" i="4"/>
  <c r="BN43" i="4"/>
  <c r="BO43" i="4"/>
  <c r="AP44" i="4"/>
  <c r="AQ44" i="4"/>
  <c r="AT44" i="4"/>
  <c r="AU44" i="4"/>
  <c r="AX44" i="4"/>
  <c r="AY44" i="4"/>
  <c r="BB44" i="4"/>
  <c r="BC44" i="4"/>
  <c r="BF44" i="4"/>
  <c r="BG44" i="4"/>
  <c r="BJ44" i="4"/>
  <c r="BK44" i="4"/>
  <c r="BN44" i="4"/>
  <c r="BO44" i="4"/>
  <c r="AP45" i="4"/>
  <c r="AQ45" i="4"/>
  <c r="AT45" i="4"/>
  <c r="AU45" i="4"/>
  <c r="AX45" i="4"/>
  <c r="AY45" i="4"/>
  <c r="BB45" i="4"/>
  <c r="BC45" i="4"/>
  <c r="BF45" i="4"/>
  <c r="BG45" i="4"/>
  <c r="BJ45" i="4"/>
  <c r="BK45" i="4"/>
  <c r="BN45" i="4"/>
  <c r="BO45" i="4"/>
  <c r="AP46" i="4"/>
  <c r="AT46" i="4"/>
  <c r="AX46" i="4"/>
  <c r="AY46" i="4"/>
  <c r="BB46" i="4"/>
  <c r="BC46" i="4"/>
  <c r="BF46" i="4"/>
  <c r="BG46" i="4"/>
  <c r="BJ46" i="4"/>
  <c r="BK46" i="4"/>
  <c r="BN46" i="4"/>
  <c r="BO46" i="4"/>
  <c r="AU47" i="4"/>
  <c r="AY47" i="4"/>
  <c r="BB47" i="4"/>
  <c r="BC47" i="4"/>
  <c r="BF47" i="4"/>
  <c r="BG47" i="4"/>
  <c r="BJ47" i="4"/>
  <c r="BK47" i="4"/>
  <c r="BN47" i="4"/>
  <c r="BO47" i="4"/>
  <c r="AP48" i="4"/>
  <c r="AT48" i="4"/>
  <c r="AU48" i="4"/>
  <c r="AX48" i="4"/>
  <c r="AY48" i="4"/>
  <c r="BB48" i="4"/>
  <c r="BC48" i="4"/>
  <c r="BF48" i="4"/>
  <c r="BG48" i="4"/>
  <c r="BJ48" i="4"/>
  <c r="BK48" i="4"/>
  <c r="BN48" i="4"/>
  <c r="BO48" i="4"/>
  <c r="AP49" i="4"/>
  <c r="AT49" i="4"/>
  <c r="AU49" i="4"/>
  <c r="AX49" i="4"/>
  <c r="AY49" i="4"/>
  <c r="BB49" i="4"/>
  <c r="BC49" i="4"/>
  <c r="BF49" i="4"/>
  <c r="BG49" i="4"/>
  <c r="BJ49" i="4"/>
  <c r="BK49" i="4"/>
  <c r="BN49" i="4"/>
  <c r="BO49" i="4"/>
  <c r="AP50" i="4"/>
  <c r="AT50" i="4"/>
  <c r="AU50" i="4"/>
  <c r="AX50" i="4"/>
  <c r="AY50" i="4"/>
  <c r="BB50" i="4"/>
  <c r="BC50" i="4"/>
  <c r="BF50" i="4"/>
  <c r="BG50" i="4"/>
  <c r="BJ50" i="4"/>
  <c r="BK50" i="4"/>
  <c r="BN50" i="4"/>
  <c r="BO50" i="4"/>
  <c r="AU51" i="4"/>
  <c r="AX51" i="4"/>
  <c r="AY51" i="4"/>
  <c r="BB51" i="4"/>
  <c r="BC51" i="4"/>
  <c r="BF51" i="4"/>
  <c r="BG51" i="4"/>
  <c r="BJ51" i="4"/>
  <c r="BK51" i="4"/>
  <c r="BN51" i="4"/>
  <c r="BO51" i="4"/>
  <c r="AP52" i="4"/>
  <c r="AT52" i="4"/>
  <c r="AU52" i="4"/>
  <c r="AX52" i="4"/>
  <c r="AY52" i="4"/>
  <c r="BB52" i="4"/>
  <c r="BC52" i="4"/>
  <c r="BF52" i="4"/>
  <c r="BG52" i="4"/>
  <c r="BJ52" i="4"/>
  <c r="BK52" i="4"/>
  <c r="BN52" i="4"/>
  <c r="BO52" i="4"/>
  <c r="AP53" i="4"/>
  <c r="AT53" i="4"/>
  <c r="AU53" i="4"/>
  <c r="AX53" i="4"/>
  <c r="AY53" i="4"/>
  <c r="BB53" i="4"/>
  <c r="BC53" i="4"/>
  <c r="BF53" i="4"/>
  <c r="BG53" i="4"/>
  <c r="BJ53" i="4"/>
  <c r="BK53" i="4"/>
  <c r="BN53" i="4"/>
  <c r="BO53" i="4"/>
  <c r="AP54" i="4"/>
  <c r="AT54" i="4"/>
  <c r="AU54" i="4"/>
  <c r="AX54" i="4"/>
  <c r="AY54" i="4"/>
  <c r="BB54" i="4"/>
  <c r="BF54" i="4"/>
  <c r="BG54" i="4"/>
  <c r="BJ54" i="4"/>
  <c r="BN54" i="4"/>
  <c r="BO54" i="4"/>
  <c r="AU55" i="4"/>
  <c r="AX55" i="4"/>
  <c r="AY55" i="4"/>
  <c r="BB55" i="4"/>
  <c r="BF55" i="4"/>
  <c r="BG55" i="4"/>
  <c r="BJ55" i="4"/>
  <c r="BN55" i="4"/>
  <c r="BO55" i="4"/>
  <c r="AP56" i="4"/>
  <c r="AT56" i="4"/>
  <c r="AU56" i="4"/>
  <c r="AX56" i="4"/>
  <c r="AY56" i="4"/>
  <c r="BB56" i="4"/>
  <c r="BF56" i="4"/>
  <c r="BG56" i="4"/>
  <c r="BJ56" i="4"/>
  <c r="BN56" i="4"/>
  <c r="BO56" i="4"/>
  <c r="AP57" i="4"/>
  <c r="AT57" i="4"/>
  <c r="AU57" i="4"/>
  <c r="AX57" i="4"/>
  <c r="AY57" i="4"/>
  <c r="BB57" i="4"/>
  <c r="BF57" i="4"/>
  <c r="BG57" i="4"/>
  <c r="BJ57" i="4"/>
  <c r="BN57" i="4"/>
  <c r="BO57" i="4"/>
  <c r="AT58" i="4"/>
  <c r="AU58" i="4"/>
  <c r="AX58" i="4"/>
  <c r="BB58" i="4"/>
  <c r="BF58" i="4"/>
  <c r="BG58" i="4"/>
  <c r="BJ58" i="4"/>
  <c r="BN58" i="4"/>
  <c r="BO58" i="4"/>
  <c r="AT59" i="4"/>
  <c r="AU59" i="4"/>
  <c r="AX59" i="4"/>
  <c r="BB59" i="4"/>
  <c r="BF59" i="4"/>
  <c r="BG59" i="4"/>
  <c r="BJ59" i="4"/>
  <c r="BN59" i="4"/>
  <c r="BO59" i="4"/>
  <c r="AT60" i="4"/>
  <c r="AU60" i="4"/>
  <c r="AX60" i="4"/>
  <c r="BB60" i="4"/>
  <c r="BF60" i="4"/>
  <c r="BG60" i="4"/>
  <c r="BJ60" i="4"/>
  <c r="BN60" i="4"/>
  <c r="BO60" i="4"/>
  <c r="AT61" i="4"/>
  <c r="AU61" i="4"/>
  <c r="AX61" i="4"/>
  <c r="BB61" i="4"/>
  <c r="BF61" i="4"/>
  <c r="BG61" i="4"/>
  <c r="BJ61" i="4"/>
  <c r="BN61" i="4"/>
  <c r="BO61" i="4"/>
  <c r="AT62" i="4"/>
  <c r="AU62" i="4"/>
  <c r="AX62" i="4"/>
  <c r="BB62" i="4"/>
  <c r="BF62" i="4"/>
  <c r="BJ62" i="4"/>
  <c r="BN62" i="4"/>
  <c r="BO62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51" i="4"/>
  <c r="AL52" i="4"/>
  <c r="AL53" i="4"/>
  <c r="AL54" i="4"/>
  <c r="AL55" i="4"/>
  <c r="AL56" i="4"/>
  <c r="AL57" i="4"/>
  <c r="AL58" i="4"/>
  <c r="AL59" i="4"/>
  <c r="AL60" i="4"/>
  <c r="AL61" i="4"/>
  <c r="AL62" i="4"/>
  <c r="AL33" i="4"/>
  <c r="G32" i="4"/>
  <c r="H32" i="4" s="1"/>
  <c r="I32" i="4" s="1"/>
  <c r="J32" i="4" s="1"/>
  <c r="K32" i="4" s="1"/>
  <c r="L32" i="4" s="1"/>
  <c r="M32" i="4" s="1"/>
  <c r="N32" i="4" s="1"/>
  <c r="O32" i="4" s="1"/>
  <c r="P32" i="4" s="1"/>
  <c r="Q32" i="4" s="1"/>
  <c r="R32" i="4" s="1"/>
  <c r="S32" i="4" s="1"/>
  <c r="T32" i="4" s="1"/>
  <c r="U32" i="4" s="1"/>
  <c r="V32" i="4" s="1"/>
  <c r="W32" i="4" s="1"/>
  <c r="X32" i="4" s="1"/>
  <c r="Y32" i="4" s="1"/>
  <c r="Z32" i="4" s="1"/>
  <c r="AA32" i="4" s="1"/>
  <c r="AB32" i="4" s="1"/>
  <c r="AC32" i="4" s="1"/>
  <c r="AD32" i="4" s="1"/>
  <c r="AE32" i="4" s="1"/>
  <c r="AF32" i="4" s="1"/>
  <c r="AG32" i="4" s="1"/>
  <c r="AH32" i="4" s="1"/>
  <c r="AI32" i="4" s="1"/>
  <c r="C21" i="4"/>
  <c r="C22" i="4"/>
  <c r="C20" i="4"/>
  <c r="C17" i="4"/>
  <c r="C18" i="4"/>
  <c r="C16" i="4"/>
  <c r="F2" i="4"/>
  <c r="C5" i="4"/>
  <c r="C4" i="4"/>
  <c r="E30" i="4"/>
  <c r="E29" i="4" s="1"/>
  <c r="E28" i="4" s="1"/>
  <c r="E27" i="4" s="1"/>
  <c r="E26" i="4" s="1"/>
  <c r="E25" i="4" s="1"/>
  <c r="E24" i="4" s="1"/>
  <c r="E23" i="4" s="1"/>
  <c r="E22" i="4" s="1"/>
  <c r="E21" i="4" s="1"/>
  <c r="E20" i="4" s="1"/>
  <c r="E19" i="4" s="1"/>
  <c r="E18" i="4" s="1"/>
  <c r="E17" i="4" s="1"/>
  <c r="E16" i="4" s="1"/>
  <c r="E15" i="4" s="1"/>
  <c r="E14" i="4" s="1"/>
  <c r="E13" i="4" s="1"/>
  <c r="E12" i="4" s="1"/>
  <c r="E11" i="4" s="1"/>
  <c r="E10" i="4" s="1"/>
  <c r="E9" i="4" s="1"/>
  <c r="E8" i="4" s="1"/>
  <c r="E7" i="4" s="1"/>
  <c r="E6" i="4" s="1"/>
  <c r="E5" i="4" s="1"/>
  <c r="E4" i="4" s="1"/>
  <c r="E3" i="4" s="1"/>
  <c r="E2" i="4" s="1"/>
  <c r="AJ30" i="4"/>
  <c r="AJ29" i="4" s="1"/>
  <c r="AJ28" i="4" s="1"/>
  <c r="AJ27" i="4" s="1"/>
  <c r="AJ26" i="4" s="1"/>
  <c r="AJ25" i="4" s="1"/>
  <c r="AJ24" i="4" s="1"/>
  <c r="AJ23" i="4" s="1"/>
  <c r="AJ22" i="4" s="1"/>
  <c r="AJ21" i="4" s="1"/>
  <c r="AJ20" i="4" s="1"/>
  <c r="AJ19" i="4" s="1"/>
  <c r="AJ18" i="4" s="1"/>
  <c r="AJ17" i="4" s="1"/>
  <c r="AJ16" i="4" s="1"/>
  <c r="AJ15" i="4" s="1"/>
  <c r="AJ14" i="4" s="1"/>
  <c r="AJ13" i="4" s="1"/>
  <c r="AJ12" i="4" s="1"/>
  <c r="AJ11" i="4" s="1"/>
  <c r="AJ10" i="4" s="1"/>
  <c r="AJ9" i="4" s="1"/>
  <c r="AJ8" i="4" s="1"/>
  <c r="AJ7" i="4" s="1"/>
  <c r="AJ6" i="4" s="1"/>
  <c r="AJ5" i="4" s="1"/>
  <c r="AJ4" i="4" s="1"/>
  <c r="AJ3" i="4" s="1"/>
  <c r="H1" i="4"/>
  <c r="I1" i="4"/>
  <c r="J1" i="4"/>
  <c r="K1" i="4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X1" i="4" s="1"/>
  <c r="Y1" i="4" s="1"/>
  <c r="Z1" i="4" s="1"/>
  <c r="AA1" i="4" s="1"/>
  <c r="AB1" i="4" s="1"/>
  <c r="AC1" i="4" s="1"/>
  <c r="AD1" i="4" s="1"/>
  <c r="AE1" i="4" s="1"/>
  <c r="AF1" i="4" s="1"/>
  <c r="AG1" i="4" s="1"/>
  <c r="AH1" i="4" s="1"/>
  <c r="AI1" i="4" s="1"/>
  <c r="G1" i="4"/>
  <c r="AW35" i="4" l="1"/>
  <c r="BA36" i="4"/>
  <c r="AP59" i="4"/>
  <c r="BM36" i="4"/>
  <c r="AM34" i="4"/>
  <c r="CY34" i="4" s="1"/>
  <c r="CZ34" i="4" s="1"/>
  <c r="DA34" i="4" s="1"/>
  <c r="DB34" i="4" s="1"/>
  <c r="AQ46" i="4"/>
  <c r="AY58" i="4"/>
  <c r="BC54" i="4"/>
  <c r="AS36" i="4"/>
  <c r="AP58" i="4"/>
  <c r="AN37" i="4"/>
  <c r="AR37" i="4"/>
  <c r="AV37" i="4"/>
  <c r="AZ37" i="4"/>
  <c r="BD37" i="4"/>
  <c r="BH37" i="4"/>
  <c r="BL37" i="4"/>
  <c r="BI36" i="4"/>
  <c r="BM35" i="4"/>
  <c r="BK54" i="4"/>
  <c r="AT55" i="4"/>
  <c r="AP55" i="4"/>
  <c r="AT51" i="4"/>
  <c r="AP51" i="4"/>
  <c r="AX47" i="4"/>
  <c r="AT47" i="4"/>
  <c r="AP47" i="4"/>
  <c r="AU46" i="4"/>
  <c r="AX43" i="4"/>
  <c r="AT43" i="4"/>
  <c r="AP43" i="4"/>
  <c r="AU42" i="4"/>
  <c r="AQ42" i="4"/>
  <c r="BB39" i="4"/>
  <c r="AX39" i="4"/>
  <c r="AT39" i="4"/>
  <c r="AP39" i="4"/>
  <c r="AY38" i="4"/>
  <c r="AU38" i="4"/>
  <c r="AQ38" i="4"/>
  <c r="BB35" i="4"/>
  <c r="AX35" i="4"/>
  <c r="AT35" i="4"/>
  <c r="AP35" i="4"/>
  <c r="AY34" i="4"/>
  <c r="AU34" i="4"/>
  <c r="AQ34" i="4"/>
  <c r="CZ33" i="4"/>
  <c r="DA33" i="4" s="1"/>
  <c r="DB33" i="4" s="1"/>
  <c r="DC33" i="4" s="1"/>
  <c r="DD33" i="4" s="1"/>
  <c r="DE33" i="4" s="1"/>
  <c r="DF33" i="4" s="1"/>
  <c r="DG33" i="4" s="1"/>
  <c r="DH33" i="4" s="1"/>
  <c r="DI33" i="4" s="1"/>
  <c r="DJ33" i="4" s="1"/>
  <c r="DK33" i="4" s="1"/>
  <c r="DL33" i="4" s="1"/>
  <c r="DM33" i="4" s="1"/>
  <c r="DN33" i="4" s="1"/>
  <c r="DO33" i="4" s="1"/>
  <c r="DP33" i="4" s="1"/>
  <c r="DQ33" i="4" s="1"/>
  <c r="DR33" i="4" s="1"/>
  <c r="DS33" i="4" s="1"/>
  <c r="DT33" i="4" s="1"/>
  <c r="DU33" i="4" s="1"/>
  <c r="DV33" i="4" s="1"/>
  <c r="DW33" i="4" s="1"/>
  <c r="DX33" i="4" s="1"/>
  <c r="DY33" i="4" s="1"/>
  <c r="DZ33" i="4" s="1"/>
  <c r="AH33" i="4" s="1"/>
  <c r="EA33" i="4" l="1"/>
  <c r="AO37" i="4"/>
  <c r="AV38" i="4"/>
  <c r="BK55" i="4"/>
  <c r="BC55" i="4"/>
  <c r="AQ47" i="4"/>
  <c r="BM37" i="4"/>
  <c r="BA37" i="4"/>
  <c r="BD38" i="4"/>
  <c r="BE37" i="4"/>
  <c r="BI37" i="4"/>
  <c r="BH38" i="4"/>
  <c r="AZ38" i="4"/>
  <c r="AR38" i="4"/>
  <c r="DC34" i="4"/>
  <c r="DD34" i="4" s="1"/>
  <c r="DE34" i="4" s="1"/>
  <c r="DF34" i="4" s="1"/>
  <c r="DG34" i="4" s="1"/>
  <c r="DH34" i="4" s="1"/>
  <c r="DI34" i="4" s="1"/>
  <c r="DJ34" i="4" s="1"/>
  <c r="DK34" i="4" s="1"/>
  <c r="DL34" i="4" s="1"/>
  <c r="DM34" i="4" s="1"/>
  <c r="DN34" i="4" s="1"/>
  <c r="DO34" i="4" s="1"/>
  <c r="DP34" i="4" s="1"/>
  <c r="DQ34" i="4" s="1"/>
  <c r="DR34" i="4" s="1"/>
  <c r="DS34" i="4" s="1"/>
  <c r="DT34" i="4" s="1"/>
  <c r="DU34" i="4" s="1"/>
  <c r="DV34" i="4" s="1"/>
  <c r="DW34" i="4" s="1"/>
  <c r="DX34" i="4" s="1"/>
  <c r="DY34" i="4" s="1"/>
  <c r="DZ34" i="4" s="1"/>
  <c r="BL38" i="4"/>
  <c r="AN38" i="4"/>
  <c r="AS37" i="4"/>
  <c r="AY59" i="4"/>
  <c r="AM35" i="4"/>
  <c r="CY35" i="4" s="1"/>
  <c r="CZ35" i="4" s="1"/>
  <c r="DA35" i="4" s="1"/>
  <c r="DB35" i="4" s="1"/>
  <c r="DC35" i="4" s="1"/>
  <c r="DD35" i="4" s="1"/>
  <c r="DE35" i="4" s="1"/>
  <c r="DF35" i="4" s="1"/>
  <c r="DG35" i="4" s="1"/>
  <c r="DH35" i="4" s="1"/>
  <c r="DI35" i="4" s="1"/>
  <c r="DJ35" i="4" s="1"/>
  <c r="DK35" i="4" s="1"/>
  <c r="DL35" i="4" s="1"/>
  <c r="DM35" i="4" s="1"/>
  <c r="DN35" i="4" s="1"/>
  <c r="DO35" i="4" s="1"/>
  <c r="DP35" i="4" s="1"/>
  <c r="DQ35" i="4" s="1"/>
  <c r="DR35" i="4" s="1"/>
  <c r="DS35" i="4" s="1"/>
  <c r="DT35" i="4" s="1"/>
  <c r="DU35" i="4" s="1"/>
  <c r="DV35" i="4" s="1"/>
  <c r="DW35" i="4" s="1"/>
  <c r="DX35" i="4" s="1"/>
  <c r="DY35" i="4" s="1"/>
  <c r="DZ35" i="4" s="1"/>
  <c r="EA35" i="4" s="1"/>
  <c r="AP60" i="4"/>
  <c r="AW36" i="4"/>
  <c r="BN64" i="4"/>
  <c r="AG33" i="4"/>
  <c r="AZ39" i="4" l="1"/>
  <c r="BD39" i="4"/>
  <c r="BC56" i="4"/>
  <c r="AP62" i="4"/>
  <c r="AP61" i="4"/>
  <c r="AN39" i="4"/>
  <c r="BM38" i="4"/>
  <c r="AS38" i="4"/>
  <c r="AR39" i="4"/>
  <c r="BH39" i="4"/>
  <c r="BE38" i="4"/>
  <c r="BA38" i="4"/>
  <c r="AQ48" i="4"/>
  <c r="BK56" i="4"/>
  <c r="AO38" i="4"/>
  <c r="EA34" i="4"/>
  <c r="AH34" i="4"/>
  <c r="AV39" i="4"/>
  <c r="AY60" i="4"/>
  <c r="AH35" i="4"/>
  <c r="BN66" i="4" s="1"/>
  <c r="AW37" i="4"/>
  <c r="AM36" i="4"/>
  <c r="CY36" i="4" s="1"/>
  <c r="CZ36" i="4" s="1"/>
  <c r="DA36" i="4" s="1"/>
  <c r="DB36" i="4" s="1"/>
  <c r="DC36" i="4" s="1"/>
  <c r="DD36" i="4" s="1"/>
  <c r="DE36" i="4" s="1"/>
  <c r="DF36" i="4" s="1"/>
  <c r="DG36" i="4" s="1"/>
  <c r="DH36" i="4" s="1"/>
  <c r="DI36" i="4" s="1"/>
  <c r="DJ36" i="4" s="1"/>
  <c r="DK36" i="4" s="1"/>
  <c r="DL36" i="4" s="1"/>
  <c r="DM36" i="4" s="1"/>
  <c r="DN36" i="4" s="1"/>
  <c r="DO36" i="4" s="1"/>
  <c r="DP36" i="4" s="1"/>
  <c r="DQ36" i="4" s="1"/>
  <c r="DR36" i="4" s="1"/>
  <c r="DS36" i="4" s="1"/>
  <c r="DT36" i="4" s="1"/>
  <c r="DU36" i="4" s="1"/>
  <c r="DV36" i="4" s="1"/>
  <c r="DW36" i="4" s="1"/>
  <c r="DX36" i="4" s="1"/>
  <c r="DY36" i="4" s="1"/>
  <c r="DZ36" i="4" s="1"/>
  <c r="BL39" i="4"/>
  <c r="BI38" i="4"/>
  <c r="AF33" i="4"/>
  <c r="BM64" i="4"/>
  <c r="AG35" i="4" l="1"/>
  <c r="AF35" i="4" s="1"/>
  <c r="EA36" i="4"/>
  <c r="AH36" i="4"/>
  <c r="AV40" i="4"/>
  <c r="AO39" i="4"/>
  <c r="AQ49" i="4"/>
  <c r="BE39" i="4"/>
  <c r="AR40" i="4"/>
  <c r="BM39" i="4"/>
  <c r="BD40" i="4"/>
  <c r="AW38" i="4"/>
  <c r="BI39" i="4"/>
  <c r="AM37" i="4"/>
  <c r="CY37" i="4" s="1"/>
  <c r="CZ37" i="4" s="1"/>
  <c r="DA37" i="4" s="1"/>
  <c r="DB37" i="4" s="1"/>
  <c r="DC37" i="4" s="1"/>
  <c r="DD37" i="4" s="1"/>
  <c r="DE37" i="4" s="1"/>
  <c r="DF37" i="4" s="1"/>
  <c r="DG37" i="4" s="1"/>
  <c r="DH37" i="4" s="1"/>
  <c r="DI37" i="4" s="1"/>
  <c r="DJ37" i="4" s="1"/>
  <c r="DK37" i="4" s="1"/>
  <c r="DL37" i="4" s="1"/>
  <c r="DM37" i="4" s="1"/>
  <c r="DN37" i="4" s="1"/>
  <c r="DO37" i="4" s="1"/>
  <c r="DP37" i="4" s="1"/>
  <c r="DQ37" i="4" s="1"/>
  <c r="DR37" i="4" s="1"/>
  <c r="DS37" i="4" s="1"/>
  <c r="DT37" i="4" s="1"/>
  <c r="DU37" i="4" s="1"/>
  <c r="DV37" i="4" s="1"/>
  <c r="DW37" i="4" s="1"/>
  <c r="DX37" i="4" s="1"/>
  <c r="DY37" i="4" s="1"/>
  <c r="DZ37" i="4" s="1"/>
  <c r="BN65" i="4"/>
  <c r="AG34" i="4"/>
  <c r="BL40" i="4"/>
  <c r="AY62" i="4"/>
  <c r="AY61" i="4"/>
  <c r="BK57" i="4"/>
  <c r="BA39" i="4"/>
  <c r="BH40" i="4"/>
  <c r="AS39" i="4"/>
  <c r="AN40" i="4"/>
  <c r="BC57" i="4"/>
  <c r="AZ40" i="4"/>
  <c r="AE33" i="4"/>
  <c r="BL64" i="4"/>
  <c r="BM66" i="4" l="1"/>
  <c r="BM65" i="4"/>
  <c r="AF34" i="4"/>
  <c r="BC58" i="4"/>
  <c r="AS40" i="4"/>
  <c r="BA40" i="4"/>
  <c r="BI40" i="4"/>
  <c r="BD41" i="4"/>
  <c r="AR41" i="4"/>
  <c r="AQ50" i="4"/>
  <c r="AV41" i="4"/>
  <c r="AH37" i="4"/>
  <c r="EA37" i="4"/>
  <c r="BN67" i="4"/>
  <c r="AG36" i="4"/>
  <c r="AZ41" i="4"/>
  <c r="AN41" i="4"/>
  <c r="BH41" i="4"/>
  <c r="BK58" i="4"/>
  <c r="BL41" i="4"/>
  <c r="AM38" i="4"/>
  <c r="CY38" i="4" s="1"/>
  <c r="CZ38" i="4" s="1"/>
  <c r="DA38" i="4" s="1"/>
  <c r="DB38" i="4" s="1"/>
  <c r="DC38" i="4" s="1"/>
  <c r="DD38" i="4" s="1"/>
  <c r="DE38" i="4" s="1"/>
  <c r="DF38" i="4" s="1"/>
  <c r="DG38" i="4" s="1"/>
  <c r="DH38" i="4" s="1"/>
  <c r="DI38" i="4" s="1"/>
  <c r="DJ38" i="4" s="1"/>
  <c r="DK38" i="4" s="1"/>
  <c r="DL38" i="4" s="1"/>
  <c r="DM38" i="4" s="1"/>
  <c r="DN38" i="4" s="1"/>
  <c r="DO38" i="4" s="1"/>
  <c r="DP38" i="4" s="1"/>
  <c r="DQ38" i="4" s="1"/>
  <c r="DR38" i="4" s="1"/>
  <c r="DS38" i="4" s="1"/>
  <c r="DT38" i="4" s="1"/>
  <c r="DU38" i="4" s="1"/>
  <c r="DV38" i="4" s="1"/>
  <c r="DW38" i="4" s="1"/>
  <c r="DX38" i="4" s="1"/>
  <c r="DY38" i="4" s="1"/>
  <c r="DZ38" i="4" s="1"/>
  <c r="AW39" i="4"/>
  <c r="BM40" i="4"/>
  <c r="BE40" i="4"/>
  <c r="AO40" i="4"/>
  <c r="BL66" i="4"/>
  <c r="AE35" i="4"/>
  <c r="BK64" i="4"/>
  <c r="AD33" i="4"/>
  <c r="BL65" i="4" l="1"/>
  <c r="AE34" i="4"/>
  <c r="BE41" i="4"/>
  <c r="AW40" i="4"/>
  <c r="BL42" i="4"/>
  <c r="BH42" i="4"/>
  <c r="AZ42" i="4"/>
  <c r="AG37" i="4"/>
  <c r="BN68" i="4"/>
  <c r="AQ51" i="4"/>
  <c r="BD42" i="4"/>
  <c r="BA41" i="4"/>
  <c r="BC59" i="4"/>
  <c r="AO41" i="4"/>
  <c r="EA38" i="4"/>
  <c r="AH38" i="4"/>
  <c r="BM67" i="4"/>
  <c r="AF36" i="4"/>
  <c r="BM41" i="4"/>
  <c r="AM39" i="4"/>
  <c r="CY39" i="4" s="1"/>
  <c r="CZ39" i="4" s="1"/>
  <c r="DA39" i="4" s="1"/>
  <c r="DB39" i="4" s="1"/>
  <c r="DC39" i="4" s="1"/>
  <c r="DD39" i="4" s="1"/>
  <c r="DE39" i="4" s="1"/>
  <c r="DF39" i="4" s="1"/>
  <c r="DG39" i="4" s="1"/>
  <c r="DH39" i="4" s="1"/>
  <c r="DI39" i="4" s="1"/>
  <c r="DJ39" i="4" s="1"/>
  <c r="DK39" i="4" s="1"/>
  <c r="DL39" i="4" s="1"/>
  <c r="DM39" i="4" s="1"/>
  <c r="DN39" i="4" s="1"/>
  <c r="DO39" i="4" s="1"/>
  <c r="DP39" i="4" s="1"/>
  <c r="DQ39" i="4" s="1"/>
  <c r="DR39" i="4" s="1"/>
  <c r="DS39" i="4" s="1"/>
  <c r="DT39" i="4" s="1"/>
  <c r="DU39" i="4" s="1"/>
  <c r="DV39" i="4" s="1"/>
  <c r="DW39" i="4" s="1"/>
  <c r="DX39" i="4" s="1"/>
  <c r="DY39" i="4" s="1"/>
  <c r="DZ39" i="4" s="1"/>
  <c r="BK59" i="4"/>
  <c r="AN42" i="4"/>
  <c r="AV42" i="4"/>
  <c r="AR42" i="4"/>
  <c r="BI41" i="4"/>
  <c r="AS41" i="4"/>
  <c r="AD35" i="4"/>
  <c r="BK66" i="4"/>
  <c r="AC33" i="4"/>
  <c r="BJ64" i="4"/>
  <c r="AS42" i="4" l="1"/>
  <c r="AR43" i="4"/>
  <c r="AN43" i="4"/>
  <c r="AM40" i="4"/>
  <c r="CY40" i="4" s="1"/>
  <c r="CZ40" i="4" s="1"/>
  <c r="DA40" i="4" s="1"/>
  <c r="DB40" i="4" s="1"/>
  <c r="DC40" i="4" s="1"/>
  <c r="DD40" i="4" s="1"/>
  <c r="DE40" i="4" s="1"/>
  <c r="DF40" i="4" s="1"/>
  <c r="DG40" i="4" s="1"/>
  <c r="DH40" i="4" s="1"/>
  <c r="DI40" i="4" s="1"/>
  <c r="DJ40" i="4" s="1"/>
  <c r="DK40" i="4" s="1"/>
  <c r="DL40" i="4" s="1"/>
  <c r="DM40" i="4" s="1"/>
  <c r="DN40" i="4" s="1"/>
  <c r="DO40" i="4" s="1"/>
  <c r="DP40" i="4" s="1"/>
  <c r="DQ40" i="4" s="1"/>
  <c r="DR40" i="4" s="1"/>
  <c r="DS40" i="4" s="1"/>
  <c r="DT40" i="4" s="1"/>
  <c r="DU40" i="4" s="1"/>
  <c r="DV40" i="4" s="1"/>
  <c r="DW40" i="4" s="1"/>
  <c r="DX40" i="4" s="1"/>
  <c r="DY40" i="4" s="1"/>
  <c r="DZ40" i="4" s="1"/>
  <c r="AO42" i="4"/>
  <c r="BA42" i="4"/>
  <c r="AQ52" i="4"/>
  <c r="AZ43" i="4"/>
  <c r="BL43" i="4"/>
  <c r="BE42" i="4"/>
  <c r="BL67" i="4"/>
  <c r="AE36" i="4"/>
  <c r="BN69" i="4"/>
  <c r="AG38" i="4"/>
  <c r="AD34" i="4"/>
  <c r="BK65" i="4"/>
  <c r="EA39" i="4"/>
  <c r="AH39" i="4"/>
  <c r="BI42" i="4"/>
  <c r="AV43" i="4"/>
  <c r="BK60" i="4"/>
  <c r="BM42" i="4"/>
  <c r="BC60" i="4"/>
  <c r="BD43" i="4"/>
  <c r="BM68" i="4"/>
  <c r="AF37" i="4"/>
  <c r="BH43" i="4"/>
  <c r="AW41" i="4"/>
  <c r="AC35" i="4"/>
  <c r="BJ66" i="4"/>
  <c r="AB33" i="4"/>
  <c r="BI64" i="4"/>
  <c r="EA40" i="4" l="1"/>
  <c r="AH40" i="4"/>
  <c r="BD44" i="4"/>
  <c r="AV44" i="4"/>
  <c r="BE43" i="4"/>
  <c r="BA43" i="4"/>
  <c r="AM41" i="4"/>
  <c r="CY41" i="4" s="1"/>
  <c r="CZ41" i="4" s="1"/>
  <c r="DA41" i="4" s="1"/>
  <c r="DB41" i="4" s="1"/>
  <c r="DC41" i="4" s="1"/>
  <c r="DD41" i="4" s="1"/>
  <c r="DE41" i="4" s="1"/>
  <c r="DF41" i="4" s="1"/>
  <c r="DG41" i="4" s="1"/>
  <c r="DH41" i="4" s="1"/>
  <c r="DI41" i="4" s="1"/>
  <c r="DJ41" i="4" s="1"/>
  <c r="DK41" i="4" s="1"/>
  <c r="DL41" i="4" s="1"/>
  <c r="DM41" i="4" s="1"/>
  <c r="DN41" i="4" s="1"/>
  <c r="DO41" i="4" s="1"/>
  <c r="DP41" i="4" s="1"/>
  <c r="DQ41" i="4" s="1"/>
  <c r="DR41" i="4" s="1"/>
  <c r="DS41" i="4" s="1"/>
  <c r="DT41" i="4" s="1"/>
  <c r="DU41" i="4" s="1"/>
  <c r="DV41" i="4" s="1"/>
  <c r="DW41" i="4" s="1"/>
  <c r="DX41" i="4" s="1"/>
  <c r="DY41" i="4" s="1"/>
  <c r="DZ41" i="4" s="1"/>
  <c r="AE37" i="4"/>
  <c r="BL68" i="4"/>
  <c r="AD36" i="4"/>
  <c r="BK67" i="4"/>
  <c r="BN70" i="4"/>
  <c r="AG39" i="4"/>
  <c r="BM69" i="4"/>
  <c r="AF38" i="4"/>
  <c r="BH44" i="4"/>
  <c r="BM43" i="4"/>
  <c r="AZ44" i="4"/>
  <c r="AR44" i="4"/>
  <c r="AW42" i="4"/>
  <c r="BC62" i="4"/>
  <c r="BC61" i="4"/>
  <c r="BK62" i="4"/>
  <c r="BK61" i="4"/>
  <c r="BI43" i="4"/>
  <c r="AC34" i="4"/>
  <c r="BJ65" i="4"/>
  <c r="BL44" i="4"/>
  <c r="AQ53" i="4"/>
  <c r="AO43" i="4"/>
  <c r="AN44" i="4"/>
  <c r="AS43" i="4"/>
  <c r="AB35" i="4"/>
  <c r="BI66" i="4"/>
  <c r="AA33" i="4"/>
  <c r="BH64" i="4"/>
  <c r="AH41" i="4" l="1"/>
  <c r="EA41" i="4"/>
  <c r="AS44" i="4"/>
  <c r="BL45" i="4"/>
  <c r="BM44" i="4"/>
  <c r="AC36" i="4"/>
  <c r="BJ67" i="4"/>
  <c r="BE44" i="4"/>
  <c r="AF39" i="4"/>
  <c r="BM70" i="4"/>
  <c r="BN71" i="4"/>
  <c r="AG40" i="4"/>
  <c r="BI44" i="4"/>
  <c r="AE38" i="4"/>
  <c r="BL69" i="4"/>
  <c r="AO44" i="4"/>
  <c r="AR45" i="4"/>
  <c r="AM42" i="4"/>
  <c r="CY42" i="4" s="1"/>
  <c r="CZ42" i="4" s="1"/>
  <c r="DA42" i="4" s="1"/>
  <c r="DB42" i="4" s="1"/>
  <c r="DC42" i="4" s="1"/>
  <c r="DD42" i="4" s="1"/>
  <c r="DE42" i="4" s="1"/>
  <c r="DF42" i="4" s="1"/>
  <c r="DG42" i="4" s="1"/>
  <c r="DH42" i="4" s="1"/>
  <c r="DI42" i="4" s="1"/>
  <c r="DJ42" i="4" s="1"/>
  <c r="DK42" i="4" s="1"/>
  <c r="DL42" i="4" s="1"/>
  <c r="DM42" i="4" s="1"/>
  <c r="DN42" i="4" s="1"/>
  <c r="DO42" i="4" s="1"/>
  <c r="DP42" i="4" s="1"/>
  <c r="DQ42" i="4" s="1"/>
  <c r="DR42" i="4" s="1"/>
  <c r="DS42" i="4" s="1"/>
  <c r="DT42" i="4" s="1"/>
  <c r="DU42" i="4" s="1"/>
  <c r="DV42" i="4" s="1"/>
  <c r="DW42" i="4" s="1"/>
  <c r="DX42" i="4" s="1"/>
  <c r="DY42" i="4" s="1"/>
  <c r="DZ42" i="4" s="1"/>
  <c r="BD45" i="4"/>
  <c r="AN45" i="4"/>
  <c r="AQ54" i="4"/>
  <c r="AB34" i="4"/>
  <c r="BI65" i="4"/>
  <c r="AW43" i="4"/>
  <c r="AZ45" i="4"/>
  <c r="BH45" i="4"/>
  <c r="BK68" i="4"/>
  <c r="AD37" i="4"/>
  <c r="BA44" i="4"/>
  <c r="AV45" i="4"/>
  <c r="AA35" i="4"/>
  <c r="BH66" i="4"/>
  <c r="Z33" i="4"/>
  <c r="BG64" i="4"/>
  <c r="BM71" i="4" l="1"/>
  <c r="AF40" i="4"/>
  <c r="BA45" i="4"/>
  <c r="BH46" i="4"/>
  <c r="AW44" i="4"/>
  <c r="AQ55" i="4"/>
  <c r="BD46" i="4"/>
  <c r="AR46" i="4"/>
  <c r="AD38" i="4"/>
  <c r="BK69" i="4"/>
  <c r="BE45" i="4"/>
  <c r="BM45" i="4"/>
  <c r="AS45" i="4"/>
  <c r="EA42" i="4"/>
  <c r="AH42" i="4"/>
  <c r="AC37" i="4"/>
  <c r="BJ68" i="4"/>
  <c r="AV46" i="4"/>
  <c r="AZ46" i="4"/>
  <c r="AA34" i="4"/>
  <c r="BH65" i="4"/>
  <c r="AN46" i="4"/>
  <c r="AM43" i="4"/>
  <c r="CY43" i="4" s="1"/>
  <c r="CZ43" i="4" s="1"/>
  <c r="DA43" i="4" s="1"/>
  <c r="DB43" i="4" s="1"/>
  <c r="DC43" i="4" s="1"/>
  <c r="DD43" i="4" s="1"/>
  <c r="DE43" i="4" s="1"/>
  <c r="DF43" i="4" s="1"/>
  <c r="DG43" i="4" s="1"/>
  <c r="DH43" i="4" s="1"/>
  <c r="DI43" i="4" s="1"/>
  <c r="DJ43" i="4" s="1"/>
  <c r="DK43" i="4" s="1"/>
  <c r="DL43" i="4" s="1"/>
  <c r="DM43" i="4" s="1"/>
  <c r="DN43" i="4" s="1"/>
  <c r="DO43" i="4" s="1"/>
  <c r="DP43" i="4" s="1"/>
  <c r="DQ43" i="4" s="1"/>
  <c r="DR43" i="4" s="1"/>
  <c r="DS43" i="4" s="1"/>
  <c r="DT43" i="4" s="1"/>
  <c r="DU43" i="4" s="1"/>
  <c r="DV43" i="4" s="1"/>
  <c r="DW43" i="4" s="1"/>
  <c r="DX43" i="4" s="1"/>
  <c r="DY43" i="4" s="1"/>
  <c r="DZ43" i="4" s="1"/>
  <c r="AO45" i="4"/>
  <c r="BI45" i="4"/>
  <c r="BL70" i="4"/>
  <c r="AE39" i="4"/>
  <c r="BI67" i="4"/>
  <c r="AB36" i="4"/>
  <c r="BL46" i="4"/>
  <c r="AG41" i="4"/>
  <c r="BN72" i="4"/>
  <c r="Z35" i="4"/>
  <c r="BG66" i="4"/>
  <c r="Y33" i="4"/>
  <c r="BF64" i="4"/>
  <c r="AA36" i="4" l="1"/>
  <c r="BH67" i="4"/>
  <c r="BM72" i="4"/>
  <c r="AF41" i="4"/>
  <c r="BI46" i="4"/>
  <c r="AM44" i="4"/>
  <c r="CY44" i="4" s="1"/>
  <c r="CZ44" i="4" s="1"/>
  <c r="DA44" i="4" s="1"/>
  <c r="DB44" i="4" s="1"/>
  <c r="DC44" i="4" s="1"/>
  <c r="DD44" i="4" s="1"/>
  <c r="DE44" i="4" s="1"/>
  <c r="DF44" i="4" s="1"/>
  <c r="DG44" i="4" s="1"/>
  <c r="DH44" i="4" s="1"/>
  <c r="DI44" i="4" s="1"/>
  <c r="DJ44" i="4" s="1"/>
  <c r="DK44" i="4" s="1"/>
  <c r="DL44" i="4" s="1"/>
  <c r="DM44" i="4" s="1"/>
  <c r="DN44" i="4" s="1"/>
  <c r="DO44" i="4" s="1"/>
  <c r="DP44" i="4" s="1"/>
  <c r="DQ44" i="4" s="1"/>
  <c r="DR44" i="4" s="1"/>
  <c r="DS44" i="4" s="1"/>
  <c r="DT44" i="4" s="1"/>
  <c r="DU44" i="4" s="1"/>
  <c r="DV44" i="4" s="1"/>
  <c r="DW44" i="4" s="1"/>
  <c r="DX44" i="4" s="1"/>
  <c r="DY44" i="4" s="1"/>
  <c r="DZ44" i="4" s="1"/>
  <c r="BG65" i="4"/>
  <c r="Z34" i="4"/>
  <c r="AV47" i="4"/>
  <c r="BM46" i="4"/>
  <c r="AC38" i="4"/>
  <c r="BJ69" i="4"/>
  <c r="BD47" i="4"/>
  <c r="AW45" i="4"/>
  <c r="BA46" i="4"/>
  <c r="EA43" i="4"/>
  <c r="AH43" i="4"/>
  <c r="BN73" i="4"/>
  <c r="AG42" i="4"/>
  <c r="AD39" i="4"/>
  <c r="BK70" i="4"/>
  <c r="AE40" i="4"/>
  <c r="BL71" i="4"/>
  <c r="BL47" i="4"/>
  <c r="AO46" i="4"/>
  <c r="AN47" i="4"/>
  <c r="AZ47" i="4"/>
  <c r="AB37" i="4"/>
  <c r="BI68" i="4"/>
  <c r="AS46" i="4"/>
  <c r="BE46" i="4"/>
  <c r="AR47" i="4"/>
  <c r="AQ56" i="4"/>
  <c r="BH47" i="4"/>
  <c r="Y35" i="4"/>
  <c r="BF66" i="4"/>
  <c r="X33" i="4"/>
  <c r="BE64" i="4"/>
  <c r="AA37" i="4" l="1"/>
  <c r="BH68" i="4"/>
  <c r="AN48" i="4"/>
  <c r="BL48" i="4"/>
  <c r="AC39" i="4"/>
  <c r="BJ70" i="4"/>
  <c r="AW46" i="4"/>
  <c r="AB38" i="4"/>
  <c r="BI69" i="4"/>
  <c r="AV48" i="4"/>
  <c r="AM45" i="4"/>
  <c r="CY45" i="4" s="1"/>
  <c r="CZ45" i="4" s="1"/>
  <c r="DA45" i="4" s="1"/>
  <c r="DB45" i="4" s="1"/>
  <c r="DC45" i="4" s="1"/>
  <c r="DD45" i="4" s="1"/>
  <c r="DE45" i="4" s="1"/>
  <c r="DF45" i="4" s="1"/>
  <c r="DG45" i="4" s="1"/>
  <c r="DH45" i="4" s="1"/>
  <c r="DI45" i="4" s="1"/>
  <c r="DJ45" i="4" s="1"/>
  <c r="DK45" i="4" s="1"/>
  <c r="DL45" i="4" s="1"/>
  <c r="DM45" i="4" s="1"/>
  <c r="DN45" i="4" s="1"/>
  <c r="DO45" i="4" s="1"/>
  <c r="DP45" i="4" s="1"/>
  <c r="DQ45" i="4" s="1"/>
  <c r="DR45" i="4" s="1"/>
  <c r="DS45" i="4" s="1"/>
  <c r="DT45" i="4" s="1"/>
  <c r="DU45" i="4" s="1"/>
  <c r="DV45" i="4" s="1"/>
  <c r="DW45" i="4" s="1"/>
  <c r="DX45" i="4" s="1"/>
  <c r="DY45" i="4" s="1"/>
  <c r="DZ45" i="4" s="1"/>
  <c r="EA44" i="4"/>
  <c r="AH44" i="4"/>
  <c r="BE47" i="4"/>
  <c r="AF42" i="4"/>
  <c r="BM73" i="4"/>
  <c r="Y34" i="4"/>
  <c r="BF65" i="4"/>
  <c r="BN74" i="4"/>
  <c r="AG43" i="4"/>
  <c r="AE41" i="4"/>
  <c r="BL72" i="4"/>
  <c r="AQ57" i="4"/>
  <c r="BH48" i="4"/>
  <c r="AR48" i="4"/>
  <c r="AS47" i="4"/>
  <c r="AZ48" i="4"/>
  <c r="AO47" i="4"/>
  <c r="AD40" i="4"/>
  <c r="BK71" i="4"/>
  <c r="BA47" i="4"/>
  <c r="BD48" i="4"/>
  <c r="BM47" i="4"/>
  <c r="BI47" i="4"/>
  <c r="Z36" i="4"/>
  <c r="BG67" i="4"/>
  <c r="X35" i="4"/>
  <c r="BE66" i="4"/>
  <c r="W33" i="4"/>
  <c r="BD64" i="4"/>
  <c r="EA45" i="4" l="1"/>
  <c r="AH45" i="4"/>
  <c r="Y36" i="4"/>
  <c r="BF67" i="4"/>
  <c r="BM48" i="4"/>
  <c r="BA48" i="4"/>
  <c r="AO48" i="4"/>
  <c r="AS48" i="4"/>
  <c r="BH49" i="4"/>
  <c r="BK72" i="4"/>
  <c r="AD41" i="4"/>
  <c r="BE65" i="4"/>
  <c r="X34" i="4"/>
  <c r="BE48" i="4"/>
  <c r="AM46" i="4"/>
  <c r="CY46" i="4" s="1"/>
  <c r="CZ46" i="4" s="1"/>
  <c r="DA46" i="4" s="1"/>
  <c r="DB46" i="4" s="1"/>
  <c r="DC46" i="4" s="1"/>
  <c r="DD46" i="4" s="1"/>
  <c r="DE46" i="4" s="1"/>
  <c r="DF46" i="4" s="1"/>
  <c r="DG46" i="4" s="1"/>
  <c r="DH46" i="4" s="1"/>
  <c r="DI46" i="4" s="1"/>
  <c r="DJ46" i="4" s="1"/>
  <c r="DK46" i="4" s="1"/>
  <c r="DL46" i="4" s="1"/>
  <c r="DM46" i="4" s="1"/>
  <c r="DN46" i="4" s="1"/>
  <c r="DO46" i="4" s="1"/>
  <c r="DP46" i="4" s="1"/>
  <c r="DQ46" i="4" s="1"/>
  <c r="DR46" i="4" s="1"/>
  <c r="DS46" i="4" s="1"/>
  <c r="DT46" i="4" s="1"/>
  <c r="DU46" i="4" s="1"/>
  <c r="DV46" i="4" s="1"/>
  <c r="DW46" i="4" s="1"/>
  <c r="DX46" i="4" s="1"/>
  <c r="DY46" i="4" s="1"/>
  <c r="DZ46" i="4" s="1"/>
  <c r="BH69" i="4"/>
  <c r="AA38" i="4"/>
  <c r="AB39" i="4"/>
  <c r="BI70" i="4"/>
  <c r="AN49" i="4"/>
  <c r="AF43" i="4"/>
  <c r="BM74" i="4"/>
  <c r="BN75" i="4"/>
  <c r="AG44" i="4"/>
  <c r="BI48" i="4"/>
  <c r="BD49" i="4"/>
  <c r="BJ71" i="4"/>
  <c r="AC40" i="4"/>
  <c r="AZ49" i="4"/>
  <c r="AR49" i="4"/>
  <c r="AQ58" i="4"/>
  <c r="AE42" i="4"/>
  <c r="BL73" i="4"/>
  <c r="AV49" i="4"/>
  <c r="AW47" i="4"/>
  <c r="BL49" i="4"/>
  <c r="BG68" i="4"/>
  <c r="Z37" i="4"/>
  <c r="BD66" i="4"/>
  <c r="W35" i="4"/>
  <c r="V33" i="4"/>
  <c r="BC64" i="4"/>
  <c r="AQ59" i="4" l="1"/>
  <c r="EA46" i="4"/>
  <c r="AH46" i="4"/>
  <c r="BD65" i="4"/>
  <c r="W34" i="4"/>
  <c r="BN76" i="4"/>
  <c r="AG45" i="4"/>
  <c r="AF44" i="4"/>
  <c r="BM75" i="4"/>
  <c r="BG69" i="4"/>
  <c r="Z38" i="4"/>
  <c r="AC41" i="4"/>
  <c r="BJ72" i="4"/>
  <c r="BL50" i="4"/>
  <c r="AV50" i="4"/>
  <c r="AZ50" i="4"/>
  <c r="BD50" i="4"/>
  <c r="AN50" i="4"/>
  <c r="BE49" i="4"/>
  <c r="AS49" i="4"/>
  <c r="BA49" i="4"/>
  <c r="X36" i="4"/>
  <c r="BE67" i="4"/>
  <c r="Y37" i="4"/>
  <c r="BF68" i="4"/>
  <c r="BI71" i="4"/>
  <c r="AB40" i="4"/>
  <c r="AW48" i="4"/>
  <c r="AD42" i="4"/>
  <c r="BK73" i="4"/>
  <c r="AR50" i="4"/>
  <c r="BI49" i="4"/>
  <c r="AE43" i="4"/>
  <c r="BL74" i="4"/>
  <c r="BH70" i="4"/>
  <c r="AA39" i="4"/>
  <c r="AM47" i="4"/>
  <c r="CY47" i="4" s="1"/>
  <c r="CZ47" i="4" s="1"/>
  <c r="DA47" i="4" s="1"/>
  <c r="DB47" i="4" s="1"/>
  <c r="DC47" i="4" s="1"/>
  <c r="DD47" i="4" s="1"/>
  <c r="DE47" i="4" s="1"/>
  <c r="DF47" i="4" s="1"/>
  <c r="DG47" i="4" s="1"/>
  <c r="DH47" i="4" s="1"/>
  <c r="DI47" i="4" s="1"/>
  <c r="DJ47" i="4" s="1"/>
  <c r="DK47" i="4" s="1"/>
  <c r="DL47" i="4" s="1"/>
  <c r="DM47" i="4" s="1"/>
  <c r="DN47" i="4" s="1"/>
  <c r="DO47" i="4" s="1"/>
  <c r="DP47" i="4" s="1"/>
  <c r="DQ47" i="4" s="1"/>
  <c r="DR47" i="4" s="1"/>
  <c r="DS47" i="4" s="1"/>
  <c r="DT47" i="4" s="1"/>
  <c r="DU47" i="4" s="1"/>
  <c r="DV47" i="4" s="1"/>
  <c r="DW47" i="4" s="1"/>
  <c r="DX47" i="4" s="1"/>
  <c r="DY47" i="4" s="1"/>
  <c r="DZ47" i="4" s="1"/>
  <c r="BH50" i="4"/>
  <c r="AO49" i="4"/>
  <c r="BM49" i="4"/>
  <c r="V35" i="4"/>
  <c r="BC66" i="4"/>
  <c r="U33" i="4"/>
  <c r="BB64" i="4"/>
  <c r="Z39" i="4" l="1"/>
  <c r="BG70" i="4"/>
  <c r="AA40" i="4"/>
  <c r="BH71" i="4"/>
  <c r="Y38" i="4"/>
  <c r="BF69" i="4"/>
  <c r="BM76" i="4"/>
  <c r="AF45" i="4"/>
  <c r="BN77" i="4"/>
  <c r="AG46" i="4"/>
  <c r="BM50" i="4"/>
  <c r="BH51" i="4"/>
  <c r="BI50" i="4"/>
  <c r="AC42" i="4"/>
  <c r="BJ73" i="4"/>
  <c r="W36" i="4"/>
  <c r="BD67" i="4"/>
  <c r="AS50" i="4"/>
  <c r="AN51" i="4"/>
  <c r="AZ51" i="4"/>
  <c r="BL51" i="4"/>
  <c r="EA47" i="4"/>
  <c r="AH47" i="4"/>
  <c r="AW49" i="4"/>
  <c r="V34" i="4"/>
  <c r="BC65" i="4"/>
  <c r="AO50" i="4"/>
  <c r="AM48" i="4"/>
  <c r="CY48" i="4" s="1"/>
  <c r="CZ48" i="4" s="1"/>
  <c r="DA48" i="4" s="1"/>
  <c r="DB48" i="4" s="1"/>
  <c r="DC48" i="4" s="1"/>
  <c r="DD48" i="4" s="1"/>
  <c r="DE48" i="4" s="1"/>
  <c r="DF48" i="4" s="1"/>
  <c r="DG48" i="4" s="1"/>
  <c r="DH48" i="4" s="1"/>
  <c r="DI48" i="4" s="1"/>
  <c r="DJ48" i="4" s="1"/>
  <c r="DK48" i="4" s="1"/>
  <c r="DL48" i="4" s="1"/>
  <c r="DM48" i="4" s="1"/>
  <c r="DN48" i="4" s="1"/>
  <c r="DO48" i="4" s="1"/>
  <c r="DP48" i="4" s="1"/>
  <c r="DQ48" i="4" s="1"/>
  <c r="DR48" i="4" s="1"/>
  <c r="DS48" i="4" s="1"/>
  <c r="DT48" i="4" s="1"/>
  <c r="DU48" i="4" s="1"/>
  <c r="DV48" i="4" s="1"/>
  <c r="DW48" i="4" s="1"/>
  <c r="DX48" i="4" s="1"/>
  <c r="DY48" i="4" s="1"/>
  <c r="DZ48" i="4" s="1"/>
  <c r="AD43" i="4"/>
  <c r="BK74" i="4"/>
  <c r="AR51" i="4"/>
  <c r="X37" i="4"/>
  <c r="BE68" i="4"/>
  <c r="BA50" i="4"/>
  <c r="BE50" i="4"/>
  <c r="BD51" i="4"/>
  <c r="AV51" i="4"/>
  <c r="BI72" i="4"/>
  <c r="AB41" i="4"/>
  <c r="BL75" i="4"/>
  <c r="AE44" i="4"/>
  <c r="AQ60" i="4"/>
  <c r="U35" i="4"/>
  <c r="BB66" i="4"/>
  <c r="T33" i="4"/>
  <c r="BA64" i="4"/>
  <c r="AA41" i="4" l="1"/>
  <c r="BH72" i="4"/>
  <c r="AD44" i="4"/>
  <c r="BK75" i="4"/>
  <c r="AE45" i="4"/>
  <c r="BL76" i="4"/>
  <c r="AV52" i="4"/>
  <c r="BE51" i="4"/>
  <c r="W37" i="4"/>
  <c r="BD68" i="4"/>
  <c r="BJ74" i="4"/>
  <c r="AC43" i="4"/>
  <c r="AO51" i="4"/>
  <c r="AW50" i="4"/>
  <c r="BL52" i="4"/>
  <c r="AN52" i="4"/>
  <c r="BC67" i="4"/>
  <c r="V36" i="4"/>
  <c r="BI51" i="4"/>
  <c r="BM51" i="4"/>
  <c r="Z40" i="4"/>
  <c r="BG71" i="4"/>
  <c r="EA48" i="4"/>
  <c r="AH48" i="4"/>
  <c r="BN78" i="4"/>
  <c r="AG47" i="4"/>
  <c r="BM77" i="4"/>
  <c r="AF46" i="4"/>
  <c r="AQ62" i="4"/>
  <c r="AQ61" i="4"/>
  <c r="BD52" i="4"/>
  <c r="BA51" i="4"/>
  <c r="AR52" i="4"/>
  <c r="AM49" i="4"/>
  <c r="CY49" i="4" s="1"/>
  <c r="CZ49" i="4" s="1"/>
  <c r="DA49" i="4" s="1"/>
  <c r="DB49" i="4" s="1"/>
  <c r="DC49" i="4" s="1"/>
  <c r="DD49" i="4" s="1"/>
  <c r="DE49" i="4" s="1"/>
  <c r="DF49" i="4" s="1"/>
  <c r="DG49" i="4" s="1"/>
  <c r="DH49" i="4" s="1"/>
  <c r="DI49" i="4" s="1"/>
  <c r="DJ49" i="4" s="1"/>
  <c r="DK49" i="4" s="1"/>
  <c r="DL49" i="4" s="1"/>
  <c r="DM49" i="4" s="1"/>
  <c r="DN49" i="4" s="1"/>
  <c r="DO49" i="4" s="1"/>
  <c r="DP49" i="4" s="1"/>
  <c r="DQ49" i="4" s="1"/>
  <c r="DR49" i="4" s="1"/>
  <c r="DS49" i="4" s="1"/>
  <c r="DT49" i="4" s="1"/>
  <c r="DU49" i="4" s="1"/>
  <c r="DV49" i="4" s="1"/>
  <c r="DW49" i="4" s="1"/>
  <c r="DX49" i="4" s="1"/>
  <c r="DY49" i="4" s="1"/>
  <c r="DZ49" i="4" s="1"/>
  <c r="U34" i="4"/>
  <c r="BB65" i="4"/>
  <c r="AZ52" i="4"/>
  <c r="AS51" i="4"/>
  <c r="BI73" i="4"/>
  <c r="AB42" i="4"/>
  <c r="BH52" i="4"/>
  <c r="X38" i="4"/>
  <c r="BE69" i="4"/>
  <c r="Y39" i="4"/>
  <c r="BF70" i="4"/>
  <c r="T35" i="4"/>
  <c r="BA66" i="4"/>
  <c r="S33" i="4"/>
  <c r="AZ64" i="4"/>
  <c r="BE70" i="4" l="1"/>
  <c r="X39" i="4"/>
  <c r="AS52" i="4"/>
  <c r="BA65" i="4"/>
  <c r="T34" i="4"/>
  <c r="BD53" i="4"/>
  <c r="BM52" i="4"/>
  <c r="BL53" i="4"/>
  <c r="AO52" i="4"/>
  <c r="V37" i="4"/>
  <c r="BC68" i="4"/>
  <c r="BJ75" i="4"/>
  <c r="AC44" i="4"/>
  <c r="AE46" i="4"/>
  <c r="BL77" i="4"/>
  <c r="BN79" i="4"/>
  <c r="AG48" i="4"/>
  <c r="U36" i="4"/>
  <c r="BB67" i="4"/>
  <c r="BH53" i="4"/>
  <c r="AR53" i="4"/>
  <c r="AV53" i="4"/>
  <c r="BH73" i="4"/>
  <c r="AA42" i="4"/>
  <c r="BM78" i="4"/>
  <c r="AF47" i="4"/>
  <c r="BI74" i="4"/>
  <c r="AB43" i="4"/>
  <c r="EA49" i="4"/>
  <c r="AH49" i="4"/>
  <c r="BD69" i="4"/>
  <c r="W38" i="4"/>
  <c r="AZ53" i="4"/>
  <c r="AM50" i="4"/>
  <c r="CY50" i="4" s="1"/>
  <c r="CZ50" i="4" s="1"/>
  <c r="DA50" i="4" s="1"/>
  <c r="DB50" i="4" s="1"/>
  <c r="DC50" i="4" s="1"/>
  <c r="DD50" i="4" s="1"/>
  <c r="DE50" i="4" s="1"/>
  <c r="DF50" i="4" s="1"/>
  <c r="DG50" i="4" s="1"/>
  <c r="DH50" i="4" s="1"/>
  <c r="DI50" i="4" s="1"/>
  <c r="DJ50" i="4" s="1"/>
  <c r="DK50" i="4" s="1"/>
  <c r="DL50" i="4" s="1"/>
  <c r="DM50" i="4" s="1"/>
  <c r="DN50" i="4" s="1"/>
  <c r="DO50" i="4" s="1"/>
  <c r="DP50" i="4" s="1"/>
  <c r="DQ50" i="4" s="1"/>
  <c r="DR50" i="4" s="1"/>
  <c r="DS50" i="4" s="1"/>
  <c r="DT50" i="4" s="1"/>
  <c r="DU50" i="4" s="1"/>
  <c r="DV50" i="4" s="1"/>
  <c r="DW50" i="4" s="1"/>
  <c r="DX50" i="4" s="1"/>
  <c r="DY50" i="4" s="1"/>
  <c r="DZ50" i="4" s="1"/>
  <c r="BA52" i="4"/>
  <c r="Y40" i="4"/>
  <c r="BF71" i="4"/>
  <c r="BI52" i="4"/>
  <c r="AN53" i="4"/>
  <c r="AW51" i="4"/>
  <c r="BE52" i="4"/>
  <c r="BK76" i="4"/>
  <c r="AD45" i="4"/>
  <c r="Z41" i="4"/>
  <c r="BG72" i="4"/>
  <c r="S35" i="4"/>
  <c r="AZ66" i="4"/>
  <c r="R33" i="4"/>
  <c r="AY64" i="4"/>
  <c r="EA50" i="4" l="1"/>
  <c r="AH50" i="4"/>
  <c r="V38" i="4"/>
  <c r="BC69" i="4"/>
  <c r="AA43" i="4"/>
  <c r="BH74" i="4"/>
  <c r="Z42" i="4"/>
  <c r="BG73" i="4"/>
  <c r="BF72" i="4"/>
  <c r="Y41" i="4"/>
  <c r="BE53" i="4"/>
  <c r="AN54" i="4"/>
  <c r="X40" i="4"/>
  <c r="BE71" i="4"/>
  <c r="AM51" i="4"/>
  <c r="CY51" i="4" s="1"/>
  <c r="CZ51" i="4" s="1"/>
  <c r="DA51" i="4" s="1"/>
  <c r="DB51" i="4" s="1"/>
  <c r="DC51" i="4" s="1"/>
  <c r="DD51" i="4" s="1"/>
  <c r="DE51" i="4" s="1"/>
  <c r="DF51" i="4" s="1"/>
  <c r="DG51" i="4" s="1"/>
  <c r="DH51" i="4" s="1"/>
  <c r="DI51" i="4" s="1"/>
  <c r="DJ51" i="4" s="1"/>
  <c r="DK51" i="4" s="1"/>
  <c r="DL51" i="4" s="1"/>
  <c r="DM51" i="4" s="1"/>
  <c r="DN51" i="4" s="1"/>
  <c r="DO51" i="4" s="1"/>
  <c r="DP51" i="4" s="1"/>
  <c r="DQ51" i="4" s="1"/>
  <c r="DR51" i="4" s="1"/>
  <c r="DS51" i="4" s="1"/>
  <c r="DT51" i="4" s="1"/>
  <c r="DU51" i="4" s="1"/>
  <c r="DV51" i="4" s="1"/>
  <c r="DW51" i="4" s="1"/>
  <c r="DX51" i="4" s="1"/>
  <c r="DY51" i="4" s="1"/>
  <c r="DZ51" i="4" s="1"/>
  <c r="AR54" i="4"/>
  <c r="BA67" i="4"/>
  <c r="T36" i="4"/>
  <c r="BK77" i="4"/>
  <c r="AD46" i="4"/>
  <c r="BB68" i="4"/>
  <c r="U37" i="4"/>
  <c r="BL54" i="4"/>
  <c r="BD54" i="4"/>
  <c r="AC45" i="4"/>
  <c r="BJ76" i="4"/>
  <c r="AG49" i="4"/>
  <c r="BN80" i="4"/>
  <c r="AE47" i="4"/>
  <c r="BL78" i="4"/>
  <c r="AF48" i="4"/>
  <c r="BM79" i="4"/>
  <c r="AB44" i="4"/>
  <c r="BI75" i="4"/>
  <c r="S34" i="4"/>
  <c r="AZ65" i="4"/>
  <c r="BD70" i="4"/>
  <c r="W39" i="4"/>
  <c r="AS53" i="4"/>
  <c r="AW52" i="4"/>
  <c r="BI53" i="4"/>
  <c r="BA53" i="4"/>
  <c r="AZ54" i="4"/>
  <c r="AV54" i="4"/>
  <c r="BH54" i="4"/>
  <c r="AO53" i="4"/>
  <c r="BM53" i="4"/>
  <c r="R35" i="4"/>
  <c r="AY66" i="4"/>
  <c r="Q33" i="4"/>
  <c r="AX64" i="4"/>
  <c r="AO54" i="4" l="1"/>
  <c r="BA54" i="4"/>
  <c r="AA44" i="4"/>
  <c r="BH75" i="4"/>
  <c r="AB45" i="4"/>
  <c r="BI76" i="4"/>
  <c r="BE54" i="4"/>
  <c r="BB69" i="4"/>
  <c r="U38" i="4"/>
  <c r="EA51" i="4"/>
  <c r="AH51" i="4"/>
  <c r="BE72" i="4"/>
  <c r="X41" i="4"/>
  <c r="AG50" i="4"/>
  <c r="BN81" i="4"/>
  <c r="V39" i="4"/>
  <c r="BC70" i="4"/>
  <c r="AC46" i="4"/>
  <c r="BJ77" i="4"/>
  <c r="AV55" i="4"/>
  <c r="AW53" i="4"/>
  <c r="BK78" i="4"/>
  <c r="AD47" i="4"/>
  <c r="BL55" i="4"/>
  <c r="AR55" i="4"/>
  <c r="W40" i="4"/>
  <c r="BD71" i="4"/>
  <c r="Y42" i="4"/>
  <c r="BF73" i="4"/>
  <c r="BA68" i="4"/>
  <c r="T37" i="4"/>
  <c r="S36" i="4"/>
  <c r="AZ67" i="4"/>
  <c r="BM54" i="4"/>
  <c r="BH55" i="4"/>
  <c r="AZ55" i="4"/>
  <c r="BI54" i="4"/>
  <c r="AS54" i="4"/>
  <c r="R34" i="4"/>
  <c r="AY65" i="4"/>
  <c r="BL79" i="4"/>
  <c r="AE48" i="4"/>
  <c r="AF49" i="4"/>
  <c r="BM80" i="4"/>
  <c r="BD55" i="4"/>
  <c r="AM52" i="4"/>
  <c r="CY52" i="4" s="1"/>
  <c r="CZ52" i="4" s="1"/>
  <c r="DA52" i="4" s="1"/>
  <c r="DB52" i="4" s="1"/>
  <c r="DC52" i="4" s="1"/>
  <c r="DD52" i="4" s="1"/>
  <c r="DE52" i="4" s="1"/>
  <c r="DF52" i="4" s="1"/>
  <c r="DG52" i="4" s="1"/>
  <c r="DH52" i="4" s="1"/>
  <c r="DI52" i="4" s="1"/>
  <c r="DJ52" i="4" s="1"/>
  <c r="DK52" i="4" s="1"/>
  <c r="DL52" i="4" s="1"/>
  <c r="DM52" i="4" s="1"/>
  <c r="DN52" i="4" s="1"/>
  <c r="DO52" i="4" s="1"/>
  <c r="DP52" i="4" s="1"/>
  <c r="DQ52" i="4" s="1"/>
  <c r="DR52" i="4" s="1"/>
  <c r="DS52" i="4" s="1"/>
  <c r="DT52" i="4" s="1"/>
  <c r="DU52" i="4" s="1"/>
  <c r="DV52" i="4" s="1"/>
  <c r="DW52" i="4" s="1"/>
  <c r="DX52" i="4" s="1"/>
  <c r="DY52" i="4" s="1"/>
  <c r="DZ52" i="4" s="1"/>
  <c r="AN55" i="4"/>
  <c r="Z43" i="4"/>
  <c r="BG74" i="4"/>
  <c r="Q35" i="4"/>
  <c r="AX66" i="4"/>
  <c r="P33" i="4"/>
  <c r="AW64" i="4"/>
  <c r="EA52" i="4" l="1"/>
  <c r="AH52" i="4"/>
  <c r="AC47" i="4"/>
  <c r="BJ78" i="4"/>
  <c r="BD72" i="4"/>
  <c r="W41" i="4"/>
  <c r="Y43" i="4"/>
  <c r="BF74" i="4"/>
  <c r="BL80" i="4"/>
  <c r="AE49" i="4"/>
  <c r="BI55" i="4"/>
  <c r="R36" i="4"/>
  <c r="AY67" i="4"/>
  <c r="AR56" i="4"/>
  <c r="AV56" i="4"/>
  <c r="BA55" i="4"/>
  <c r="AD48" i="4"/>
  <c r="BK79" i="4"/>
  <c r="S37" i="4"/>
  <c r="AZ68" i="4"/>
  <c r="BN82" i="4"/>
  <c r="AG51" i="4"/>
  <c r="BA69" i="4"/>
  <c r="T38" i="4"/>
  <c r="AM53" i="4"/>
  <c r="CY53" i="4" s="1"/>
  <c r="CZ53" i="4" s="1"/>
  <c r="DA53" i="4" s="1"/>
  <c r="DB53" i="4" s="1"/>
  <c r="DC53" i="4" s="1"/>
  <c r="DD53" i="4" s="1"/>
  <c r="DE53" i="4" s="1"/>
  <c r="DF53" i="4" s="1"/>
  <c r="DG53" i="4" s="1"/>
  <c r="DH53" i="4" s="1"/>
  <c r="DI53" i="4" s="1"/>
  <c r="DJ53" i="4" s="1"/>
  <c r="DK53" i="4" s="1"/>
  <c r="DL53" i="4" s="1"/>
  <c r="DM53" i="4" s="1"/>
  <c r="DN53" i="4" s="1"/>
  <c r="DO53" i="4" s="1"/>
  <c r="DP53" i="4" s="1"/>
  <c r="DQ53" i="4" s="1"/>
  <c r="DR53" i="4" s="1"/>
  <c r="DS53" i="4" s="1"/>
  <c r="DT53" i="4" s="1"/>
  <c r="DU53" i="4" s="1"/>
  <c r="DV53" i="4" s="1"/>
  <c r="DW53" i="4" s="1"/>
  <c r="DX53" i="4" s="1"/>
  <c r="DY53" i="4" s="1"/>
  <c r="DZ53" i="4" s="1"/>
  <c r="Q34" i="4"/>
  <c r="AX65" i="4"/>
  <c r="BH56" i="4"/>
  <c r="X42" i="4"/>
  <c r="BE73" i="4"/>
  <c r="U39" i="4"/>
  <c r="BB70" i="4"/>
  <c r="AA45" i="4"/>
  <c r="BH76" i="4"/>
  <c r="AN56" i="4"/>
  <c r="BD56" i="4"/>
  <c r="AS55" i="4"/>
  <c r="AZ56" i="4"/>
  <c r="BM55" i="4"/>
  <c r="BC71" i="4"/>
  <c r="V40" i="4"/>
  <c r="BL56" i="4"/>
  <c r="AW54" i="4"/>
  <c r="BI77" i="4"/>
  <c r="AB46" i="4"/>
  <c r="AF50" i="4"/>
  <c r="BM81" i="4"/>
  <c r="BE55" i="4"/>
  <c r="Z44" i="4"/>
  <c r="BG75" i="4"/>
  <c r="AO55" i="4"/>
  <c r="P35" i="4"/>
  <c r="AW66" i="4"/>
  <c r="O33" i="4"/>
  <c r="AV64" i="4"/>
  <c r="AE50" i="4" l="1"/>
  <c r="BL81" i="4"/>
  <c r="BD57" i="4"/>
  <c r="Z45" i="4"/>
  <c r="BG76" i="4"/>
  <c r="AW65" i="4"/>
  <c r="P34" i="4"/>
  <c r="R37" i="4"/>
  <c r="AY68" i="4"/>
  <c r="BI56" i="4"/>
  <c r="X43" i="4"/>
  <c r="BE74" i="4"/>
  <c r="EA53" i="4"/>
  <c r="AH53" i="4"/>
  <c r="BM82" i="4"/>
  <c r="AF51" i="4"/>
  <c r="AD49" i="4"/>
  <c r="BK80" i="4"/>
  <c r="V41" i="4"/>
  <c r="BC72" i="4"/>
  <c r="BN83" i="4"/>
  <c r="AG52" i="4"/>
  <c r="BB71" i="4"/>
  <c r="U40" i="4"/>
  <c r="AZ69" i="4"/>
  <c r="S38" i="4"/>
  <c r="Y44" i="4"/>
  <c r="BF75" i="4"/>
  <c r="AW55" i="4"/>
  <c r="AZ57" i="4"/>
  <c r="BD73" i="4"/>
  <c r="W42" i="4"/>
  <c r="BA56" i="4"/>
  <c r="AR57" i="4"/>
  <c r="AB47" i="4"/>
  <c r="BI78" i="4"/>
  <c r="AA46" i="4"/>
  <c r="BH77" i="4"/>
  <c r="AO56" i="4"/>
  <c r="BE56" i="4"/>
  <c r="BL57" i="4"/>
  <c r="BM56" i="4"/>
  <c r="AS56" i="4"/>
  <c r="AN57" i="4"/>
  <c r="BA70" i="4"/>
  <c r="T39" i="4"/>
  <c r="BH57" i="4"/>
  <c r="AM54" i="4"/>
  <c r="CY54" i="4" s="1"/>
  <c r="CZ54" i="4" s="1"/>
  <c r="DA54" i="4" s="1"/>
  <c r="DB54" i="4" s="1"/>
  <c r="DC54" i="4" s="1"/>
  <c r="DD54" i="4" s="1"/>
  <c r="DE54" i="4" s="1"/>
  <c r="DF54" i="4" s="1"/>
  <c r="DG54" i="4" s="1"/>
  <c r="DH54" i="4" s="1"/>
  <c r="DI54" i="4" s="1"/>
  <c r="DJ54" i="4" s="1"/>
  <c r="DK54" i="4" s="1"/>
  <c r="DL54" i="4" s="1"/>
  <c r="DM54" i="4" s="1"/>
  <c r="DN54" i="4" s="1"/>
  <c r="DO54" i="4" s="1"/>
  <c r="DP54" i="4" s="1"/>
  <c r="DQ54" i="4" s="1"/>
  <c r="DR54" i="4" s="1"/>
  <c r="DS54" i="4" s="1"/>
  <c r="DT54" i="4" s="1"/>
  <c r="DU54" i="4" s="1"/>
  <c r="DV54" i="4" s="1"/>
  <c r="DW54" i="4" s="1"/>
  <c r="DX54" i="4" s="1"/>
  <c r="DY54" i="4" s="1"/>
  <c r="DZ54" i="4" s="1"/>
  <c r="AC48" i="4"/>
  <c r="BJ79" i="4"/>
  <c r="AV57" i="4"/>
  <c r="Q36" i="4"/>
  <c r="AX67" i="4"/>
  <c r="O35" i="4"/>
  <c r="AV66" i="4"/>
  <c r="N33" i="4"/>
  <c r="AU64" i="4"/>
  <c r="R38" i="4" l="1"/>
  <c r="AY69" i="4"/>
  <c r="BH58" i="4"/>
  <c r="BM57" i="4"/>
  <c r="AR58" i="4"/>
  <c r="EA54" i="4"/>
  <c r="AH54" i="4"/>
  <c r="AZ70" i="4"/>
  <c r="S39" i="4"/>
  <c r="BA71" i="4"/>
  <c r="T40" i="4"/>
  <c r="BL82" i="4"/>
  <c r="AE51" i="4"/>
  <c r="BC73" i="4"/>
  <c r="V42" i="4"/>
  <c r="BM83" i="4"/>
  <c r="AF52" i="4"/>
  <c r="BN84" i="4"/>
  <c r="AG53" i="4"/>
  <c r="O34" i="4"/>
  <c r="AV65" i="4"/>
  <c r="AW67" i="4"/>
  <c r="P36" i="4"/>
  <c r="BI79" i="4"/>
  <c r="AB48" i="4"/>
  <c r="AN58" i="4"/>
  <c r="BE57" i="4"/>
  <c r="Z46" i="4"/>
  <c r="BG77" i="4"/>
  <c r="AW56" i="4"/>
  <c r="AC49" i="4"/>
  <c r="BJ80" i="4"/>
  <c r="BI57" i="4"/>
  <c r="BD58" i="4"/>
  <c r="AV58" i="4"/>
  <c r="AM55" i="4"/>
  <c r="CY55" i="4" s="1"/>
  <c r="CZ55" i="4" s="1"/>
  <c r="DA55" i="4" s="1"/>
  <c r="DB55" i="4" s="1"/>
  <c r="DC55" i="4" s="1"/>
  <c r="DD55" i="4" s="1"/>
  <c r="DE55" i="4" s="1"/>
  <c r="DF55" i="4" s="1"/>
  <c r="DG55" i="4" s="1"/>
  <c r="DH55" i="4" s="1"/>
  <c r="DI55" i="4" s="1"/>
  <c r="DJ55" i="4" s="1"/>
  <c r="DK55" i="4" s="1"/>
  <c r="DL55" i="4" s="1"/>
  <c r="DM55" i="4" s="1"/>
  <c r="DN55" i="4" s="1"/>
  <c r="DO55" i="4" s="1"/>
  <c r="DP55" i="4" s="1"/>
  <c r="DQ55" i="4" s="1"/>
  <c r="DR55" i="4" s="1"/>
  <c r="DS55" i="4" s="1"/>
  <c r="DT55" i="4" s="1"/>
  <c r="DU55" i="4" s="1"/>
  <c r="DV55" i="4" s="1"/>
  <c r="DW55" i="4" s="1"/>
  <c r="DX55" i="4" s="1"/>
  <c r="DY55" i="4" s="1"/>
  <c r="DZ55" i="4" s="1"/>
  <c r="AS57" i="4"/>
  <c r="BL58" i="4"/>
  <c r="AO57" i="4"/>
  <c r="AA47" i="4"/>
  <c r="BH78" i="4"/>
  <c r="BA57" i="4"/>
  <c r="AZ58" i="4"/>
  <c r="X44" i="4"/>
  <c r="BE75" i="4"/>
  <c r="U41" i="4"/>
  <c r="BB72" i="4"/>
  <c r="W43" i="4"/>
  <c r="BD74" i="4"/>
  <c r="AX68" i="4"/>
  <c r="Q37" i="4"/>
  <c r="Y45" i="4"/>
  <c r="BF76" i="4"/>
  <c r="BK81" i="4"/>
  <c r="AD50" i="4"/>
  <c r="N35" i="4"/>
  <c r="AU66" i="4"/>
  <c r="M33" i="4"/>
  <c r="AT64" i="4"/>
  <c r="BL83" i="4" l="1"/>
  <c r="AE52" i="4"/>
  <c r="R39" i="4"/>
  <c r="AY70" i="4"/>
  <c r="X45" i="4"/>
  <c r="BE76" i="4"/>
  <c r="BD75" i="4"/>
  <c r="W44" i="4"/>
  <c r="AO58" i="4"/>
  <c r="AV59" i="4"/>
  <c r="AW57" i="4"/>
  <c r="N34" i="4"/>
  <c r="AU65" i="4"/>
  <c r="AR59" i="4"/>
  <c r="EA55" i="4"/>
  <c r="AH55" i="4"/>
  <c r="O36" i="4"/>
  <c r="AV67" i="4"/>
  <c r="BM84" i="4"/>
  <c r="AF53" i="4"/>
  <c r="BB73" i="4"/>
  <c r="U42" i="4"/>
  <c r="S40" i="4"/>
  <c r="AZ71" i="4"/>
  <c r="BN85" i="4"/>
  <c r="AG54" i="4"/>
  <c r="BH79" i="4"/>
  <c r="AA48" i="4"/>
  <c r="AD51" i="4"/>
  <c r="BK82" i="4"/>
  <c r="V43" i="4"/>
  <c r="BC74" i="4"/>
  <c r="BA58" i="4"/>
  <c r="AS58" i="4"/>
  <c r="BI58" i="4"/>
  <c r="BE58" i="4"/>
  <c r="BH59" i="4"/>
  <c r="AC50" i="4"/>
  <c r="BJ81" i="4"/>
  <c r="P37" i="4"/>
  <c r="AW68" i="4"/>
  <c r="BA72" i="4"/>
  <c r="T41" i="4"/>
  <c r="AZ59" i="4"/>
  <c r="Z47" i="4"/>
  <c r="BG78" i="4"/>
  <c r="BL59" i="4"/>
  <c r="AM56" i="4"/>
  <c r="CY56" i="4" s="1"/>
  <c r="CZ56" i="4" s="1"/>
  <c r="DA56" i="4" s="1"/>
  <c r="DB56" i="4" s="1"/>
  <c r="DC56" i="4" s="1"/>
  <c r="DD56" i="4" s="1"/>
  <c r="DE56" i="4" s="1"/>
  <c r="DF56" i="4" s="1"/>
  <c r="DG56" i="4" s="1"/>
  <c r="DH56" i="4" s="1"/>
  <c r="DI56" i="4" s="1"/>
  <c r="DJ56" i="4" s="1"/>
  <c r="DK56" i="4" s="1"/>
  <c r="DL56" i="4" s="1"/>
  <c r="DM56" i="4" s="1"/>
  <c r="DN56" i="4" s="1"/>
  <c r="DO56" i="4" s="1"/>
  <c r="DP56" i="4" s="1"/>
  <c r="DQ56" i="4" s="1"/>
  <c r="DR56" i="4" s="1"/>
  <c r="DS56" i="4" s="1"/>
  <c r="DT56" i="4" s="1"/>
  <c r="DU56" i="4" s="1"/>
  <c r="DV56" i="4" s="1"/>
  <c r="DW56" i="4" s="1"/>
  <c r="DX56" i="4" s="1"/>
  <c r="DY56" i="4" s="1"/>
  <c r="DZ56" i="4" s="1"/>
  <c r="BD59" i="4"/>
  <c r="BI80" i="4"/>
  <c r="AB49" i="4"/>
  <c r="Y46" i="4"/>
  <c r="BF77" i="4"/>
  <c r="AN59" i="4"/>
  <c r="BM58" i="4"/>
  <c r="AX69" i="4"/>
  <c r="Q38" i="4"/>
  <c r="M35" i="4"/>
  <c r="AT66" i="4"/>
  <c r="L33" i="4"/>
  <c r="AS64" i="4"/>
  <c r="AH56" i="4" l="1"/>
  <c r="EA56" i="4"/>
  <c r="AZ72" i="4"/>
  <c r="S41" i="4"/>
  <c r="BG79" i="4"/>
  <c r="Z48" i="4"/>
  <c r="BL84" i="4"/>
  <c r="AE53" i="4"/>
  <c r="BC75" i="4"/>
  <c r="V44" i="4"/>
  <c r="Y47" i="4"/>
  <c r="BF78" i="4"/>
  <c r="AB50" i="4"/>
  <c r="BI81" i="4"/>
  <c r="AS59" i="4"/>
  <c r="R40" i="4"/>
  <c r="AY71" i="4"/>
  <c r="M34" i="4"/>
  <c r="AT65" i="4"/>
  <c r="Q39" i="4"/>
  <c r="AX70" i="4"/>
  <c r="AF54" i="4"/>
  <c r="BM85" i="4"/>
  <c r="BA73" i="4"/>
  <c r="T42" i="4"/>
  <c r="AD52" i="4"/>
  <c r="BK83" i="4"/>
  <c r="AW69" i="4"/>
  <c r="P38" i="4"/>
  <c r="AA49" i="4"/>
  <c r="BH80" i="4"/>
  <c r="BN86" i="4"/>
  <c r="AG55" i="4"/>
  <c r="AN60" i="4"/>
  <c r="AM57" i="4"/>
  <c r="CY57" i="4" s="1"/>
  <c r="CZ57" i="4" s="1"/>
  <c r="DA57" i="4" s="1"/>
  <c r="DB57" i="4" s="1"/>
  <c r="DC57" i="4" s="1"/>
  <c r="DD57" i="4" s="1"/>
  <c r="DE57" i="4" s="1"/>
  <c r="DF57" i="4" s="1"/>
  <c r="DG57" i="4" s="1"/>
  <c r="DH57" i="4" s="1"/>
  <c r="DI57" i="4" s="1"/>
  <c r="DJ57" i="4" s="1"/>
  <c r="DK57" i="4" s="1"/>
  <c r="DL57" i="4" s="1"/>
  <c r="DM57" i="4" s="1"/>
  <c r="DN57" i="4" s="1"/>
  <c r="DO57" i="4" s="1"/>
  <c r="DP57" i="4" s="1"/>
  <c r="DQ57" i="4" s="1"/>
  <c r="DR57" i="4" s="1"/>
  <c r="DS57" i="4" s="1"/>
  <c r="DT57" i="4" s="1"/>
  <c r="DU57" i="4" s="1"/>
  <c r="DV57" i="4" s="1"/>
  <c r="DW57" i="4" s="1"/>
  <c r="DX57" i="4" s="1"/>
  <c r="DY57" i="4" s="1"/>
  <c r="DZ57" i="4" s="1"/>
  <c r="BE59" i="4"/>
  <c r="U43" i="4"/>
  <c r="BB74" i="4"/>
  <c r="AV60" i="4"/>
  <c r="BM59" i="4"/>
  <c r="BE77" i="4"/>
  <c r="X46" i="4"/>
  <c r="BD60" i="4"/>
  <c r="BL60" i="4"/>
  <c r="AZ60" i="4"/>
  <c r="O37" i="4"/>
  <c r="AV68" i="4"/>
  <c r="BH60" i="4"/>
  <c r="BI59" i="4"/>
  <c r="BA59" i="4"/>
  <c r="AC51" i="4"/>
  <c r="BJ82" i="4"/>
  <c r="AU67" i="4"/>
  <c r="N36" i="4"/>
  <c r="AR60" i="4"/>
  <c r="AW58" i="4"/>
  <c r="AO59" i="4"/>
  <c r="W45" i="4"/>
  <c r="BD76" i="4"/>
  <c r="L35" i="4"/>
  <c r="AS66" i="4"/>
  <c r="K33" i="4"/>
  <c r="AR64" i="4"/>
  <c r="BD77" i="4" l="1"/>
  <c r="W46" i="4"/>
  <c r="AD53" i="4"/>
  <c r="BK84" i="4"/>
  <c r="AO60" i="4"/>
  <c r="BI60" i="4"/>
  <c r="AV62" i="4"/>
  <c r="AV61" i="4"/>
  <c r="EA57" i="4"/>
  <c r="AH57" i="4"/>
  <c r="BM86" i="4"/>
  <c r="AF55" i="4"/>
  <c r="AV69" i="4"/>
  <c r="O38" i="4"/>
  <c r="AZ73" i="4"/>
  <c r="S42" i="4"/>
  <c r="BB75" i="4"/>
  <c r="U44" i="4"/>
  <c r="Y48" i="4"/>
  <c r="BF79" i="4"/>
  <c r="R41" i="4"/>
  <c r="AY72" i="4"/>
  <c r="AR62" i="4"/>
  <c r="AR61" i="4"/>
  <c r="AB51" i="4"/>
  <c r="BI82" i="4"/>
  <c r="N37" i="4"/>
  <c r="AU68" i="4"/>
  <c r="BL62" i="4"/>
  <c r="BL61" i="4"/>
  <c r="BE60" i="4"/>
  <c r="AN62" i="4"/>
  <c r="AN61" i="4"/>
  <c r="Z49" i="4"/>
  <c r="BG80" i="4"/>
  <c r="BJ83" i="4"/>
  <c r="AC52" i="4"/>
  <c r="BL85" i="4"/>
  <c r="AE54" i="4"/>
  <c r="L34" i="4"/>
  <c r="AS65" i="4"/>
  <c r="AS60" i="4"/>
  <c r="BE78" i="4"/>
  <c r="X47" i="4"/>
  <c r="M36" i="4"/>
  <c r="AT67" i="4"/>
  <c r="V45" i="4"/>
  <c r="BC76" i="4"/>
  <c r="AW59" i="4"/>
  <c r="BA60" i="4"/>
  <c r="BH62" i="4"/>
  <c r="BH61" i="4"/>
  <c r="AZ62" i="4"/>
  <c r="AZ61" i="4"/>
  <c r="BD62" i="4"/>
  <c r="BD61" i="4"/>
  <c r="BM60" i="4"/>
  <c r="BA74" i="4"/>
  <c r="T43" i="4"/>
  <c r="AM58" i="4"/>
  <c r="CY58" i="4" s="1"/>
  <c r="CZ58" i="4" s="1"/>
  <c r="DA58" i="4" s="1"/>
  <c r="DB58" i="4" s="1"/>
  <c r="DC58" i="4" s="1"/>
  <c r="DD58" i="4" s="1"/>
  <c r="DE58" i="4" s="1"/>
  <c r="DF58" i="4" s="1"/>
  <c r="DG58" i="4" s="1"/>
  <c r="DH58" i="4" s="1"/>
  <c r="DI58" i="4" s="1"/>
  <c r="DJ58" i="4" s="1"/>
  <c r="DK58" i="4" s="1"/>
  <c r="DL58" i="4" s="1"/>
  <c r="DM58" i="4" s="1"/>
  <c r="DN58" i="4" s="1"/>
  <c r="DO58" i="4" s="1"/>
  <c r="DP58" i="4" s="1"/>
  <c r="DQ58" i="4" s="1"/>
  <c r="DR58" i="4" s="1"/>
  <c r="DS58" i="4" s="1"/>
  <c r="DT58" i="4" s="1"/>
  <c r="DU58" i="4" s="1"/>
  <c r="DV58" i="4" s="1"/>
  <c r="DW58" i="4" s="1"/>
  <c r="DX58" i="4" s="1"/>
  <c r="DY58" i="4" s="1"/>
  <c r="DZ58" i="4" s="1"/>
  <c r="P39" i="4"/>
  <c r="AW70" i="4"/>
  <c r="AX71" i="4"/>
  <c r="Q40" i="4"/>
  <c r="AA50" i="4"/>
  <c r="BH81" i="4"/>
  <c r="BN87" i="4"/>
  <c r="AG56" i="4"/>
  <c r="K35" i="4"/>
  <c r="AR66" i="4"/>
  <c r="J33" i="4"/>
  <c r="AQ64" i="4"/>
  <c r="EA58" i="4" l="1"/>
  <c r="AH58" i="4"/>
  <c r="BD78" i="4"/>
  <c r="W47" i="4"/>
  <c r="BA75" i="4"/>
  <c r="T44" i="4"/>
  <c r="N38" i="4"/>
  <c r="AU69" i="4"/>
  <c r="BN88" i="4"/>
  <c r="AG57" i="4"/>
  <c r="AM59" i="4"/>
  <c r="CY59" i="4" s="1"/>
  <c r="CZ59" i="4" s="1"/>
  <c r="DA59" i="4" s="1"/>
  <c r="DB59" i="4" s="1"/>
  <c r="DC59" i="4" s="1"/>
  <c r="DD59" i="4" s="1"/>
  <c r="DE59" i="4" s="1"/>
  <c r="DF59" i="4" s="1"/>
  <c r="DG59" i="4" s="1"/>
  <c r="DH59" i="4" s="1"/>
  <c r="DI59" i="4" s="1"/>
  <c r="DJ59" i="4" s="1"/>
  <c r="DK59" i="4" s="1"/>
  <c r="DL59" i="4" s="1"/>
  <c r="DM59" i="4" s="1"/>
  <c r="DN59" i="4" s="1"/>
  <c r="DO59" i="4" s="1"/>
  <c r="DP59" i="4" s="1"/>
  <c r="DQ59" i="4" s="1"/>
  <c r="DR59" i="4" s="1"/>
  <c r="DS59" i="4" s="1"/>
  <c r="DT59" i="4" s="1"/>
  <c r="DU59" i="4" s="1"/>
  <c r="DV59" i="4" s="1"/>
  <c r="DW59" i="4" s="1"/>
  <c r="DX59" i="4" s="1"/>
  <c r="DY59" i="4" s="1"/>
  <c r="DZ59" i="4" s="1"/>
  <c r="BM62" i="4"/>
  <c r="BM61" i="4"/>
  <c r="BA62" i="4"/>
  <c r="BA61" i="4"/>
  <c r="BB76" i="4"/>
  <c r="U45" i="4"/>
  <c r="AR65" i="4"/>
  <c r="K34" i="4"/>
  <c r="AA51" i="4"/>
  <c r="BH82" i="4"/>
  <c r="AX72" i="4"/>
  <c r="Q41" i="4"/>
  <c r="BI62" i="4"/>
  <c r="BI61" i="4"/>
  <c r="BJ84" i="4"/>
  <c r="AC53" i="4"/>
  <c r="AZ74" i="4"/>
  <c r="S43" i="4"/>
  <c r="AD54" i="4"/>
  <c r="BK85" i="4"/>
  <c r="AY73" i="4"/>
  <c r="R42" i="4"/>
  <c r="AE55" i="4"/>
  <c r="BL86" i="4"/>
  <c r="BC77" i="4"/>
  <c r="V46" i="4"/>
  <c r="BM87" i="4"/>
  <c r="AF56" i="4"/>
  <c r="P40" i="4"/>
  <c r="AW71" i="4"/>
  <c r="AB52" i="4"/>
  <c r="BI83" i="4"/>
  <c r="BG81" i="4"/>
  <c r="Z50" i="4"/>
  <c r="AV70" i="4"/>
  <c r="O39" i="4"/>
  <c r="AW60" i="4"/>
  <c r="L36" i="4"/>
  <c r="AS67" i="4"/>
  <c r="AS62" i="4"/>
  <c r="AS61" i="4"/>
  <c r="Y49" i="4"/>
  <c r="BF80" i="4"/>
  <c r="BE62" i="4"/>
  <c r="BE61" i="4"/>
  <c r="AT68" i="4"/>
  <c r="M37" i="4"/>
  <c r="BE79" i="4"/>
  <c r="X48" i="4"/>
  <c r="AO62" i="4"/>
  <c r="AO61" i="4"/>
  <c r="J35" i="4"/>
  <c r="AQ66" i="4"/>
  <c r="I33" i="4"/>
  <c r="AP64" i="4"/>
  <c r="L37" i="4" l="1"/>
  <c r="AS68" i="4"/>
  <c r="N39" i="4"/>
  <c r="AU70" i="4"/>
  <c r="AE56" i="4"/>
  <c r="BL87" i="4"/>
  <c r="AB53" i="4"/>
  <c r="BI84" i="4"/>
  <c r="AW72" i="4"/>
  <c r="P41" i="4"/>
  <c r="J34" i="4"/>
  <c r="AQ65" i="4"/>
  <c r="BC78" i="4"/>
  <c r="V47" i="4"/>
  <c r="AR67" i="4"/>
  <c r="K36" i="4"/>
  <c r="AA52" i="4"/>
  <c r="BH83" i="4"/>
  <c r="AD55" i="4"/>
  <c r="BK86" i="4"/>
  <c r="BA76" i="4"/>
  <c r="T45" i="4"/>
  <c r="AF57" i="4"/>
  <c r="BM88" i="4"/>
  <c r="AZ75" i="4"/>
  <c r="S44" i="4"/>
  <c r="BN89" i="4"/>
  <c r="AG58" i="4"/>
  <c r="EA59" i="4"/>
  <c r="AH59" i="4"/>
  <c r="X49" i="4"/>
  <c r="BE80" i="4"/>
  <c r="AC54" i="4"/>
  <c r="BJ85" i="4"/>
  <c r="AM60" i="4"/>
  <c r="CY60" i="4" s="1"/>
  <c r="CZ60" i="4" s="1"/>
  <c r="DA60" i="4" s="1"/>
  <c r="DB60" i="4" s="1"/>
  <c r="DC60" i="4" s="1"/>
  <c r="DD60" i="4" s="1"/>
  <c r="DE60" i="4" s="1"/>
  <c r="DF60" i="4" s="1"/>
  <c r="DG60" i="4" s="1"/>
  <c r="DH60" i="4" s="1"/>
  <c r="DI60" i="4" s="1"/>
  <c r="DJ60" i="4" s="1"/>
  <c r="DK60" i="4" s="1"/>
  <c r="DL60" i="4" s="1"/>
  <c r="DM60" i="4" s="1"/>
  <c r="DN60" i="4" s="1"/>
  <c r="DO60" i="4" s="1"/>
  <c r="DP60" i="4" s="1"/>
  <c r="DQ60" i="4" s="1"/>
  <c r="DR60" i="4" s="1"/>
  <c r="DS60" i="4" s="1"/>
  <c r="DT60" i="4" s="1"/>
  <c r="DU60" i="4" s="1"/>
  <c r="DV60" i="4" s="1"/>
  <c r="DW60" i="4" s="1"/>
  <c r="DX60" i="4" s="1"/>
  <c r="DY60" i="4" s="1"/>
  <c r="DZ60" i="4" s="1"/>
  <c r="M38" i="4"/>
  <c r="AT69" i="4"/>
  <c r="BD79" i="4"/>
  <c r="W48" i="4"/>
  <c r="Y50" i="4"/>
  <c r="BF81" i="4"/>
  <c r="BB77" i="4"/>
  <c r="U46" i="4"/>
  <c r="Q42" i="4"/>
  <c r="AX73" i="4"/>
  <c r="R43" i="4"/>
  <c r="AY74" i="4"/>
  <c r="AW62" i="4"/>
  <c r="AW61" i="4"/>
  <c r="O40" i="4"/>
  <c r="AV71" i="4"/>
  <c r="Z51" i="4"/>
  <c r="BG82" i="4"/>
  <c r="I35" i="4"/>
  <c r="AP66" i="4"/>
  <c r="H33" i="4"/>
  <c r="AO64" i="4"/>
  <c r="T46" i="4" l="1"/>
  <c r="BA77" i="4"/>
  <c r="BC79" i="4"/>
  <c r="V48" i="4"/>
  <c r="EA60" i="4"/>
  <c r="AH60" i="4"/>
  <c r="AF58" i="4"/>
  <c r="BM89" i="4"/>
  <c r="AQ67" i="4"/>
  <c r="J36" i="4"/>
  <c r="N40" i="4"/>
  <c r="AU71" i="4"/>
  <c r="Q43" i="4"/>
  <c r="AX74" i="4"/>
  <c r="AM62" i="4"/>
  <c r="CY62" i="4" s="1"/>
  <c r="CZ62" i="4" s="1"/>
  <c r="DA62" i="4" s="1"/>
  <c r="DB62" i="4" s="1"/>
  <c r="DC62" i="4" s="1"/>
  <c r="DD62" i="4" s="1"/>
  <c r="DE62" i="4" s="1"/>
  <c r="DF62" i="4" s="1"/>
  <c r="DG62" i="4" s="1"/>
  <c r="DH62" i="4" s="1"/>
  <c r="DI62" i="4" s="1"/>
  <c r="DJ62" i="4" s="1"/>
  <c r="DK62" i="4" s="1"/>
  <c r="DL62" i="4" s="1"/>
  <c r="DM62" i="4" s="1"/>
  <c r="DN62" i="4" s="1"/>
  <c r="DO62" i="4" s="1"/>
  <c r="DP62" i="4" s="1"/>
  <c r="DQ62" i="4" s="1"/>
  <c r="DR62" i="4" s="1"/>
  <c r="DS62" i="4" s="1"/>
  <c r="DT62" i="4" s="1"/>
  <c r="DU62" i="4" s="1"/>
  <c r="DV62" i="4" s="1"/>
  <c r="DW62" i="4" s="1"/>
  <c r="DX62" i="4" s="1"/>
  <c r="DY62" i="4" s="1"/>
  <c r="DZ62" i="4" s="1"/>
  <c r="AM61" i="4"/>
  <c r="CY61" i="4" s="1"/>
  <c r="CZ61" i="4" s="1"/>
  <c r="DA61" i="4" s="1"/>
  <c r="DB61" i="4" s="1"/>
  <c r="DC61" i="4" s="1"/>
  <c r="DD61" i="4" s="1"/>
  <c r="DE61" i="4" s="1"/>
  <c r="DF61" i="4" s="1"/>
  <c r="DG61" i="4" s="1"/>
  <c r="DH61" i="4" s="1"/>
  <c r="DI61" i="4" s="1"/>
  <c r="DJ61" i="4" s="1"/>
  <c r="DK61" i="4" s="1"/>
  <c r="DL61" i="4" s="1"/>
  <c r="DM61" i="4" s="1"/>
  <c r="DN61" i="4" s="1"/>
  <c r="DO61" i="4" s="1"/>
  <c r="DP61" i="4" s="1"/>
  <c r="DQ61" i="4" s="1"/>
  <c r="DR61" i="4" s="1"/>
  <c r="DS61" i="4" s="1"/>
  <c r="DT61" i="4" s="1"/>
  <c r="DU61" i="4" s="1"/>
  <c r="DV61" i="4" s="1"/>
  <c r="DW61" i="4" s="1"/>
  <c r="DX61" i="4" s="1"/>
  <c r="DY61" i="4" s="1"/>
  <c r="DZ61" i="4" s="1"/>
  <c r="BD80" i="4"/>
  <c r="W49" i="4"/>
  <c r="BL88" i="4"/>
  <c r="AE57" i="4"/>
  <c r="BJ86" i="4"/>
  <c r="AC55" i="4"/>
  <c r="AP65" i="4"/>
  <c r="I34" i="4"/>
  <c r="BH84" i="4"/>
  <c r="AA53" i="4"/>
  <c r="AT70" i="4"/>
  <c r="M39" i="4"/>
  <c r="BN90" i="4"/>
  <c r="AG59" i="4"/>
  <c r="R44" i="4"/>
  <c r="AY75" i="4"/>
  <c r="AZ76" i="4"/>
  <c r="S45" i="4"/>
  <c r="BB78" i="4"/>
  <c r="U47" i="4"/>
  <c r="O41" i="4"/>
  <c r="AV72" i="4"/>
  <c r="Y51" i="4"/>
  <c r="BF82" i="4"/>
  <c r="P42" i="4"/>
  <c r="AW73" i="4"/>
  <c r="X50" i="4"/>
  <c r="BE81" i="4"/>
  <c r="AS69" i="4"/>
  <c r="L38" i="4"/>
  <c r="AB54" i="4"/>
  <c r="BI85" i="4"/>
  <c r="Z52" i="4"/>
  <c r="BG83" i="4"/>
  <c r="BK87" i="4"/>
  <c r="AD56" i="4"/>
  <c r="K37" i="4"/>
  <c r="AR68" i="4"/>
  <c r="H35" i="4"/>
  <c r="AO66" i="4"/>
  <c r="G33" i="4"/>
  <c r="AM64" i="4" s="1"/>
  <c r="AN64" i="4"/>
  <c r="EA61" i="4" l="1"/>
  <c r="AH61" i="4"/>
  <c r="U48" i="4"/>
  <c r="BB79" i="4"/>
  <c r="AA54" i="4"/>
  <c r="BH85" i="4"/>
  <c r="BD81" i="4"/>
  <c r="W50" i="4"/>
  <c r="BE82" i="4"/>
  <c r="X51" i="4"/>
  <c r="Q44" i="4"/>
  <c r="AX75" i="4"/>
  <c r="AT71" i="4"/>
  <c r="M40" i="4"/>
  <c r="K38" i="4"/>
  <c r="AR69" i="4"/>
  <c r="R45" i="4"/>
  <c r="AY76" i="4"/>
  <c r="BM90" i="4"/>
  <c r="AF59" i="4"/>
  <c r="Z53" i="4"/>
  <c r="BG84" i="4"/>
  <c r="BI86" i="4"/>
  <c r="AB55" i="4"/>
  <c r="V49" i="4"/>
  <c r="BC80" i="4"/>
  <c r="I36" i="4"/>
  <c r="AP67" i="4"/>
  <c r="AG60" i="4"/>
  <c r="BN91" i="4"/>
  <c r="AC56" i="4"/>
  <c r="BJ87" i="4"/>
  <c r="BA78" i="4"/>
  <c r="T47" i="4"/>
  <c r="AS70" i="4"/>
  <c r="L39" i="4"/>
  <c r="H34" i="4"/>
  <c r="AO65" i="4"/>
  <c r="AD57" i="4"/>
  <c r="BK88" i="4"/>
  <c r="EA62" i="4"/>
  <c r="AH62" i="4"/>
  <c r="BL89" i="4"/>
  <c r="AE58" i="4"/>
  <c r="AQ68" i="4"/>
  <c r="J37" i="4"/>
  <c r="Y52" i="4"/>
  <c r="BF83" i="4"/>
  <c r="O42" i="4"/>
  <c r="AV73" i="4"/>
  <c r="N41" i="4"/>
  <c r="AU72" i="4"/>
  <c r="AW74" i="4"/>
  <c r="P43" i="4"/>
  <c r="AZ77" i="4"/>
  <c r="S46" i="4"/>
  <c r="G35" i="4"/>
  <c r="AM66" i="4" s="1"/>
  <c r="AN66" i="4"/>
  <c r="R46" i="4" l="1"/>
  <c r="AY77" i="4"/>
  <c r="AD58" i="4"/>
  <c r="BK89" i="4"/>
  <c r="K39" i="4"/>
  <c r="AR70" i="4"/>
  <c r="AE59" i="4"/>
  <c r="BL90" i="4"/>
  <c r="BC81" i="4"/>
  <c r="V50" i="4"/>
  <c r="X52" i="4"/>
  <c r="BE83" i="4"/>
  <c r="BI87" i="4"/>
  <c r="AB56" i="4"/>
  <c r="AW75" i="4"/>
  <c r="P44" i="4"/>
  <c r="O43" i="4"/>
  <c r="AV74" i="4"/>
  <c r="AG62" i="4"/>
  <c r="BN93" i="4"/>
  <c r="S47" i="4"/>
  <c r="AZ78" i="4"/>
  <c r="AA55" i="4"/>
  <c r="BH86" i="4"/>
  <c r="M41" i="4"/>
  <c r="AT72" i="4"/>
  <c r="AC57" i="4"/>
  <c r="BJ88" i="4"/>
  <c r="H36" i="4"/>
  <c r="AO67" i="4"/>
  <c r="AQ69" i="4"/>
  <c r="J38" i="4"/>
  <c r="BA79" i="4"/>
  <c r="T48" i="4"/>
  <c r="AP68" i="4"/>
  <c r="I37" i="4"/>
  <c r="AS71" i="4"/>
  <c r="L40" i="4"/>
  <c r="BD82" i="4"/>
  <c r="W51" i="4"/>
  <c r="BN92" i="4"/>
  <c r="DZ92" i="4" s="1"/>
  <c r="DZ91" i="4" s="1"/>
  <c r="DZ90" i="4" s="1"/>
  <c r="DZ89" i="4" s="1"/>
  <c r="DZ88" i="4" s="1"/>
  <c r="DZ87" i="4" s="1"/>
  <c r="DZ86" i="4" s="1"/>
  <c r="DZ85" i="4" s="1"/>
  <c r="DZ84" i="4" s="1"/>
  <c r="DZ83" i="4" s="1"/>
  <c r="DZ82" i="4" s="1"/>
  <c r="DZ81" i="4" s="1"/>
  <c r="DZ80" i="4" s="1"/>
  <c r="DZ79" i="4" s="1"/>
  <c r="DZ78" i="4" s="1"/>
  <c r="DZ77" i="4" s="1"/>
  <c r="DZ76" i="4" s="1"/>
  <c r="DZ75" i="4" s="1"/>
  <c r="DZ74" i="4" s="1"/>
  <c r="DZ73" i="4" s="1"/>
  <c r="DZ72" i="4" s="1"/>
  <c r="DZ71" i="4" s="1"/>
  <c r="DZ70" i="4" s="1"/>
  <c r="DZ69" i="4" s="1"/>
  <c r="DZ68" i="4" s="1"/>
  <c r="DZ67" i="4" s="1"/>
  <c r="DZ66" i="4" s="1"/>
  <c r="DZ65" i="4" s="1"/>
  <c r="AG61" i="4"/>
  <c r="N42" i="4"/>
  <c r="AU73" i="4"/>
  <c r="G34" i="4"/>
  <c r="AM65" i="4" s="1"/>
  <c r="AN65" i="4"/>
  <c r="BM91" i="4"/>
  <c r="AF60" i="4"/>
  <c r="BB80" i="4"/>
  <c r="U49" i="4"/>
  <c r="BF84" i="4"/>
  <c r="Y53" i="4"/>
  <c r="AX76" i="4"/>
  <c r="Q45" i="4"/>
  <c r="Z54" i="4"/>
  <c r="BG85" i="4"/>
  <c r="X53" i="4" l="1"/>
  <c r="BE84" i="4"/>
  <c r="AE60" i="4"/>
  <c r="BL91" i="4"/>
  <c r="V51" i="4"/>
  <c r="BC82" i="4"/>
  <c r="AO68" i="4"/>
  <c r="H37" i="4"/>
  <c r="AP69" i="4"/>
  <c r="I38" i="4"/>
  <c r="AV75" i="4"/>
  <c r="O44" i="4"/>
  <c r="Y54" i="4"/>
  <c r="BF85" i="4"/>
  <c r="AT73" i="4"/>
  <c r="M42" i="4"/>
  <c r="AB57" i="4"/>
  <c r="BI88" i="4"/>
  <c r="Z55" i="4"/>
  <c r="BG86" i="4"/>
  <c r="AF62" i="4"/>
  <c r="BM93" i="4"/>
  <c r="BD83" i="4"/>
  <c r="W52" i="4"/>
  <c r="AD59" i="4"/>
  <c r="BK90" i="4"/>
  <c r="AC58" i="4"/>
  <c r="BJ89" i="4"/>
  <c r="AW76" i="4"/>
  <c r="P45" i="4"/>
  <c r="BA80" i="4"/>
  <c r="T49" i="4"/>
  <c r="AF61" i="4"/>
  <c r="BM92" i="4"/>
  <c r="DY92" i="4" s="1"/>
  <c r="DY91" i="4" s="1"/>
  <c r="DY90" i="4" s="1"/>
  <c r="DY89" i="4" s="1"/>
  <c r="DY88" i="4" s="1"/>
  <c r="DY87" i="4" s="1"/>
  <c r="DY86" i="4" s="1"/>
  <c r="DY85" i="4" s="1"/>
  <c r="DY84" i="4" s="1"/>
  <c r="DY83" i="4" s="1"/>
  <c r="DY82" i="4" s="1"/>
  <c r="DY81" i="4" s="1"/>
  <c r="DY80" i="4" s="1"/>
  <c r="DY79" i="4" s="1"/>
  <c r="DY78" i="4" s="1"/>
  <c r="DY77" i="4" s="1"/>
  <c r="DY76" i="4" s="1"/>
  <c r="DY75" i="4" s="1"/>
  <c r="DY74" i="4" s="1"/>
  <c r="DY73" i="4" s="1"/>
  <c r="DY72" i="4" s="1"/>
  <c r="DY71" i="4" s="1"/>
  <c r="DY70" i="4" s="1"/>
  <c r="DY69" i="4" s="1"/>
  <c r="DY68" i="4" s="1"/>
  <c r="DY67" i="4" s="1"/>
  <c r="DY66" i="4" s="1"/>
  <c r="DY65" i="4" s="1"/>
  <c r="K40" i="4"/>
  <c r="AR71" i="4"/>
  <c r="AZ79" i="4"/>
  <c r="S48" i="4"/>
  <c r="AA56" i="4"/>
  <c r="BH87" i="4"/>
  <c r="U50" i="4"/>
  <c r="BB81" i="4"/>
  <c r="AH64" i="4"/>
  <c r="AH65" i="4" s="1"/>
  <c r="AH66" i="4" s="1"/>
  <c r="AH67" i="4" s="1"/>
  <c r="AH68" i="4" s="1"/>
  <c r="AH69" i="4" s="1"/>
  <c r="AH70" i="4" s="1"/>
  <c r="AH71" i="4" s="1"/>
  <c r="AH72" i="4" s="1"/>
  <c r="AH73" i="4" s="1"/>
  <c r="AH74" i="4" s="1"/>
  <c r="AH75" i="4" s="1"/>
  <c r="AH76" i="4" s="1"/>
  <c r="AH77" i="4" s="1"/>
  <c r="AH78" i="4" s="1"/>
  <c r="AH79" i="4" s="1"/>
  <c r="AH80" i="4" s="1"/>
  <c r="AH81" i="4" s="1"/>
  <c r="AH82" i="4" s="1"/>
  <c r="AH83" i="4" s="1"/>
  <c r="AH84" i="4" s="1"/>
  <c r="AH85" i="4" s="1"/>
  <c r="AH86" i="4" s="1"/>
  <c r="AH87" i="4" s="1"/>
  <c r="AH88" i="4" s="1"/>
  <c r="AH89" i="4" s="1"/>
  <c r="AH90" i="4" s="1"/>
  <c r="AH91" i="4" s="1"/>
  <c r="AH92" i="4" s="1"/>
  <c r="AH93" i="4" s="1"/>
  <c r="DZ64" i="4"/>
  <c r="G36" i="4"/>
  <c r="AM67" i="4" s="1"/>
  <c r="AN67" i="4"/>
  <c r="AS72" i="4"/>
  <c r="L41" i="4"/>
  <c r="AY78" i="4"/>
  <c r="R47" i="4"/>
  <c r="N43" i="4"/>
  <c r="AU74" i="4"/>
  <c r="AQ70" i="4"/>
  <c r="J39" i="4"/>
  <c r="AX77" i="4"/>
  <c r="Q46" i="4"/>
  <c r="AR72" i="4" l="1"/>
  <c r="K41" i="4"/>
  <c r="BC83" i="4"/>
  <c r="V52" i="4"/>
  <c r="AS73" i="4"/>
  <c r="L42" i="4"/>
  <c r="AN68" i="4"/>
  <c r="G37" i="4"/>
  <c r="AM68" i="4" s="1"/>
  <c r="M43" i="4"/>
  <c r="AT74" i="4"/>
  <c r="Z56" i="4"/>
  <c r="BG87" i="4"/>
  <c r="J40" i="4"/>
  <c r="AQ71" i="4"/>
  <c r="AB58" i="4"/>
  <c r="BI89" i="4"/>
  <c r="Y55" i="4"/>
  <c r="BF86" i="4"/>
  <c r="BK91" i="4"/>
  <c r="AD60" i="4"/>
  <c r="I39" i="4"/>
  <c r="AP70" i="4"/>
  <c r="Q47" i="4"/>
  <c r="AX78" i="4"/>
  <c r="R48" i="4"/>
  <c r="AY79" i="4"/>
  <c r="O45" i="4"/>
  <c r="AV76" i="4"/>
  <c r="H38" i="4"/>
  <c r="AO69" i="4"/>
  <c r="P46" i="4"/>
  <c r="AW77" i="4"/>
  <c r="S49" i="4"/>
  <c r="AZ80" i="4"/>
  <c r="AU75" i="4"/>
  <c r="N44" i="4"/>
  <c r="AG64" i="4"/>
  <c r="AG65" i="4" s="1"/>
  <c r="AG66" i="4" s="1"/>
  <c r="AG67" i="4" s="1"/>
  <c r="AG68" i="4" s="1"/>
  <c r="AG69" i="4" s="1"/>
  <c r="AG70" i="4" s="1"/>
  <c r="AG71" i="4" s="1"/>
  <c r="AG72" i="4" s="1"/>
  <c r="AG73" i="4" s="1"/>
  <c r="AG74" i="4" s="1"/>
  <c r="AG75" i="4" s="1"/>
  <c r="AG76" i="4" s="1"/>
  <c r="AG77" i="4" s="1"/>
  <c r="AG78" i="4" s="1"/>
  <c r="AG79" i="4" s="1"/>
  <c r="AG80" i="4" s="1"/>
  <c r="AG81" i="4" s="1"/>
  <c r="AG82" i="4" s="1"/>
  <c r="AG83" i="4" s="1"/>
  <c r="AG84" i="4" s="1"/>
  <c r="AG85" i="4" s="1"/>
  <c r="AG86" i="4" s="1"/>
  <c r="AG87" i="4" s="1"/>
  <c r="AG88" i="4" s="1"/>
  <c r="AG89" i="4" s="1"/>
  <c r="AG90" i="4" s="1"/>
  <c r="AG91" i="4" s="1"/>
  <c r="AG92" i="4" s="1"/>
  <c r="AG93" i="4" s="1"/>
  <c r="DY64" i="4"/>
  <c r="BA81" i="4"/>
  <c r="T50" i="4"/>
  <c r="BL92" i="4"/>
  <c r="DX92" i="4" s="1"/>
  <c r="DX91" i="4" s="1"/>
  <c r="DX90" i="4" s="1"/>
  <c r="DX89" i="4" s="1"/>
  <c r="DX88" i="4" s="1"/>
  <c r="DX87" i="4" s="1"/>
  <c r="DX86" i="4" s="1"/>
  <c r="DX85" i="4" s="1"/>
  <c r="DX84" i="4" s="1"/>
  <c r="DX83" i="4" s="1"/>
  <c r="DX82" i="4" s="1"/>
  <c r="DX81" i="4" s="1"/>
  <c r="DX80" i="4" s="1"/>
  <c r="DX79" i="4" s="1"/>
  <c r="DX78" i="4" s="1"/>
  <c r="DX77" i="4" s="1"/>
  <c r="DX76" i="4" s="1"/>
  <c r="DX75" i="4" s="1"/>
  <c r="DX74" i="4" s="1"/>
  <c r="DX73" i="4" s="1"/>
  <c r="DX72" i="4" s="1"/>
  <c r="DX71" i="4" s="1"/>
  <c r="DX70" i="4" s="1"/>
  <c r="DX69" i="4" s="1"/>
  <c r="DX68" i="4" s="1"/>
  <c r="DX67" i="4" s="1"/>
  <c r="DX66" i="4" s="1"/>
  <c r="DX65" i="4" s="1"/>
  <c r="AE61" i="4"/>
  <c r="BJ90" i="4"/>
  <c r="AC59" i="4"/>
  <c r="AE62" i="4"/>
  <c r="BL93" i="4"/>
  <c r="AA57" i="4"/>
  <c r="BH88" i="4"/>
  <c r="X54" i="4"/>
  <c r="BE85" i="4"/>
  <c r="BB82" i="4"/>
  <c r="U51" i="4"/>
  <c r="W53" i="4"/>
  <c r="BD84" i="4"/>
  <c r="DX64" i="4" l="1"/>
  <c r="AF64" i="4"/>
  <c r="AF65" i="4" s="1"/>
  <c r="AF66" i="4" s="1"/>
  <c r="AF67" i="4" s="1"/>
  <c r="AF68" i="4" s="1"/>
  <c r="AF69" i="4" s="1"/>
  <c r="AF70" i="4" s="1"/>
  <c r="AF71" i="4" s="1"/>
  <c r="AF72" i="4" s="1"/>
  <c r="AF73" i="4" s="1"/>
  <c r="AF74" i="4" s="1"/>
  <c r="AF75" i="4" s="1"/>
  <c r="AF76" i="4" s="1"/>
  <c r="AF77" i="4" s="1"/>
  <c r="AF78" i="4" s="1"/>
  <c r="AF79" i="4" s="1"/>
  <c r="AF80" i="4" s="1"/>
  <c r="AF81" i="4" s="1"/>
  <c r="AF82" i="4" s="1"/>
  <c r="AF83" i="4" s="1"/>
  <c r="AF84" i="4" s="1"/>
  <c r="AF85" i="4" s="1"/>
  <c r="AF86" i="4" s="1"/>
  <c r="AF87" i="4" s="1"/>
  <c r="AF88" i="4" s="1"/>
  <c r="AF89" i="4" s="1"/>
  <c r="AF90" i="4" s="1"/>
  <c r="AF91" i="4" s="1"/>
  <c r="AF92" i="4" s="1"/>
  <c r="AF93" i="4" s="1"/>
  <c r="BA82" i="4"/>
  <c r="T51" i="4"/>
  <c r="AB59" i="4"/>
  <c r="BI90" i="4"/>
  <c r="AZ81" i="4"/>
  <c r="S50" i="4"/>
  <c r="M44" i="4"/>
  <c r="AT75" i="4"/>
  <c r="AC60" i="4"/>
  <c r="BJ91" i="4"/>
  <c r="BB83" i="4"/>
  <c r="U52" i="4"/>
  <c r="Z57" i="4"/>
  <c r="BG88" i="4"/>
  <c r="O46" i="4"/>
  <c r="AV77" i="4"/>
  <c r="N45" i="4"/>
  <c r="AU76" i="4"/>
  <c r="AW78" i="4"/>
  <c r="P47" i="4"/>
  <c r="AA58" i="4"/>
  <c r="BH89" i="4"/>
  <c r="Y56" i="4"/>
  <c r="BF87" i="4"/>
  <c r="BK92" i="4"/>
  <c r="DW92" i="4" s="1"/>
  <c r="DW91" i="4" s="1"/>
  <c r="DW90" i="4" s="1"/>
  <c r="DW89" i="4" s="1"/>
  <c r="DW88" i="4" s="1"/>
  <c r="DW87" i="4" s="1"/>
  <c r="DW86" i="4" s="1"/>
  <c r="DW85" i="4" s="1"/>
  <c r="DW84" i="4" s="1"/>
  <c r="DW83" i="4" s="1"/>
  <c r="DW82" i="4" s="1"/>
  <c r="DW81" i="4" s="1"/>
  <c r="DW80" i="4" s="1"/>
  <c r="DW79" i="4" s="1"/>
  <c r="DW78" i="4" s="1"/>
  <c r="DW77" i="4" s="1"/>
  <c r="DW76" i="4" s="1"/>
  <c r="DW75" i="4" s="1"/>
  <c r="DW74" i="4" s="1"/>
  <c r="DW73" i="4" s="1"/>
  <c r="DW72" i="4" s="1"/>
  <c r="DW71" i="4" s="1"/>
  <c r="DW70" i="4" s="1"/>
  <c r="DW69" i="4" s="1"/>
  <c r="DW68" i="4" s="1"/>
  <c r="DW67" i="4" s="1"/>
  <c r="DW66" i="4" s="1"/>
  <c r="DW65" i="4" s="1"/>
  <c r="AD61" i="4"/>
  <c r="AR73" i="4"/>
  <c r="K42" i="4"/>
  <c r="J41" i="4"/>
  <c r="AQ72" i="4"/>
  <c r="BC84" i="4"/>
  <c r="V53" i="4"/>
  <c r="BD85" i="4"/>
  <c r="W54" i="4"/>
  <c r="BK93" i="4"/>
  <c r="AD62" i="4"/>
  <c r="R49" i="4"/>
  <c r="AY80" i="4"/>
  <c r="G38" i="4"/>
  <c r="AM69" i="4" s="1"/>
  <c r="AN69" i="4"/>
  <c r="Q48" i="4"/>
  <c r="AX79" i="4"/>
  <c r="H39" i="4"/>
  <c r="AO70" i="4"/>
  <c r="X55" i="4"/>
  <c r="BE86" i="4"/>
  <c r="AP71" i="4"/>
  <c r="I40" i="4"/>
  <c r="AS74" i="4"/>
  <c r="L43" i="4"/>
  <c r="AE64" i="4" l="1"/>
  <c r="AE65" i="4" s="1"/>
  <c r="AE66" i="4" s="1"/>
  <c r="AE67" i="4" s="1"/>
  <c r="AE68" i="4" s="1"/>
  <c r="AE69" i="4" s="1"/>
  <c r="AE70" i="4" s="1"/>
  <c r="AE71" i="4" s="1"/>
  <c r="AE72" i="4" s="1"/>
  <c r="AE73" i="4" s="1"/>
  <c r="AE74" i="4" s="1"/>
  <c r="AE75" i="4" s="1"/>
  <c r="AE76" i="4" s="1"/>
  <c r="AE77" i="4" s="1"/>
  <c r="AE78" i="4" s="1"/>
  <c r="AE79" i="4" s="1"/>
  <c r="AE80" i="4" s="1"/>
  <c r="AE81" i="4" s="1"/>
  <c r="AE82" i="4" s="1"/>
  <c r="AE83" i="4" s="1"/>
  <c r="AE84" i="4" s="1"/>
  <c r="AE85" i="4" s="1"/>
  <c r="AE86" i="4" s="1"/>
  <c r="AE87" i="4" s="1"/>
  <c r="AE88" i="4" s="1"/>
  <c r="AE89" i="4" s="1"/>
  <c r="AE90" i="4" s="1"/>
  <c r="AE91" i="4" s="1"/>
  <c r="AE92" i="4" s="1"/>
  <c r="AE93" i="4" s="1"/>
  <c r="DW64" i="4"/>
  <c r="AT76" i="4"/>
  <c r="M45" i="4"/>
  <c r="AB60" i="4"/>
  <c r="BI91" i="4"/>
  <c r="BB84" i="4"/>
  <c r="U53" i="4"/>
  <c r="K43" i="4"/>
  <c r="AR74" i="4"/>
  <c r="V54" i="4"/>
  <c r="BC85" i="4"/>
  <c r="AC61" i="4"/>
  <c r="BJ92" i="4"/>
  <c r="DV92" i="4" s="1"/>
  <c r="DV91" i="4" s="1"/>
  <c r="DV90" i="4" s="1"/>
  <c r="DV89" i="4" s="1"/>
  <c r="DV88" i="4" s="1"/>
  <c r="DV87" i="4" s="1"/>
  <c r="DV86" i="4" s="1"/>
  <c r="DV85" i="4" s="1"/>
  <c r="DV84" i="4" s="1"/>
  <c r="DV83" i="4" s="1"/>
  <c r="DV82" i="4" s="1"/>
  <c r="DV81" i="4" s="1"/>
  <c r="DV80" i="4" s="1"/>
  <c r="DV79" i="4" s="1"/>
  <c r="DV78" i="4" s="1"/>
  <c r="DV77" i="4" s="1"/>
  <c r="DV76" i="4" s="1"/>
  <c r="DV75" i="4" s="1"/>
  <c r="DV74" i="4" s="1"/>
  <c r="DV73" i="4" s="1"/>
  <c r="DV72" i="4" s="1"/>
  <c r="DV71" i="4" s="1"/>
  <c r="DV70" i="4" s="1"/>
  <c r="DV69" i="4" s="1"/>
  <c r="DV68" i="4" s="1"/>
  <c r="DV67" i="4" s="1"/>
  <c r="DV66" i="4" s="1"/>
  <c r="DV65" i="4" s="1"/>
  <c r="R50" i="4"/>
  <c r="AY81" i="4"/>
  <c r="S51" i="4"/>
  <c r="AZ82" i="4"/>
  <c r="BD86" i="4"/>
  <c r="W55" i="4"/>
  <c r="P48" i="4"/>
  <c r="AW79" i="4"/>
  <c r="Q49" i="4"/>
  <c r="AX80" i="4"/>
  <c r="I41" i="4"/>
  <c r="AP72" i="4"/>
  <c r="BG89" i="4"/>
  <c r="Z58" i="4"/>
  <c r="Y57" i="4"/>
  <c r="BF88" i="4"/>
  <c r="AO71" i="4"/>
  <c r="H40" i="4"/>
  <c r="AC62" i="4"/>
  <c r="BJ93" i="4"/>
  <c r="AQ73" i="4"/>
  <c r="J42" i="4"/>
  <c r="O47" i="4"/>
  <c r="AV78" i="4"/>
  <c r="BA83" i="4"/>
  <c r="T52" i="4"/>
  <c r="G39" i="4"/>
  <c r="AM70" i="4" s="1"/>
  <c r="AN70" i="4"/>
  <c r="X56" i="4"/>
  <c r="BE87" i="4"/>
  <c r="N46" i="4"/>
  <c r="AU77" i="4"/>
  <c r="AS75" i="4"/>
  <c r="L44" i="4"/>
  <c r="AA59" i="4"/>
  <c r="BH90" i="4"/>
  <c r="AZ83" i="4" l="1"/>
  <c r="S52" i="4"/>
  <c r="AN71" i="4"/>
  <c r="G40" i="4"/>
  <c r="AM71" i="4" s="1"/>
  <c r="AS76" i="4"/>
  <c r="L45" i="4"/>
  <c r="AX81" i="4"/>
  <c r="Q50" i="4"/>
  <c r="AD64" i="4"/>
  <c r="AD65" i="4" s="1"/>
  <c r="AD66" i="4" s="1"/>
  <c r="AD67" i="4" s="1"/>
  <c r="AD68" i="4" s="1"/>
  <c r="AD69" i="4" s="1"/>
  <c r="AD70" i="4" s="1"/>
  <c r="AD71" i="4" s="1"/>
  <c r="AD72" i="4" s="1"/>
  <c r="AD73" i="4" s="1"/>
  <c r="AD74" i="4" s="1"/>
  <c r="AD75" i="4" s="1"/>
  <c r="AD76" i="4" s="1"/>
  <c r="AD77" i="4" s="1"/>
  <c r="AD78" i="4" s="1"/>
  <c r="AD79" i="4" s="1"/>
  <c r="AD80" i="4" s="1"/>
  <c r="AD81" i="4" s="1"/>
  <c r="AD82" i="4" s="1"/>
  <c r="AD83" i="4" s="1"/>
  <c r="AD84" i="4" s="1"/>
  <c r="AD85" i="4" s="1"/>
  <c r="AD86" i="4" s="1"/>
  <c r="AD87" i="4" s="1"/>
  <c r="AD88" i="4" s="1"/>
  <c r="AD89" i="4" s="1"/>
  <c r="AD90" i="4" s="1"/>
  <c r="AD91" i="4" s="1"/>
  <c r="AD92" i="4" s="1"/>
  <c r="AD93" i="4" s="1"/>
  <c r="DV64" i="4"/>
  <c r="AR75" i="4"/>
  <c r="K44" i="4"/>
  <c r="I42" i="4"/>
  <c r="AP73" i="4"/>
  <c r="Y58" i="4"/>
  <c r="BF89" i="4"/>
  <c r="BC86" i="4"/>
  <c r="V55" i="4"/>
  <c r="BA84" i="4"/>
  <c r="T53" i="4"/>
  <c r="W56" i="4"/>
  <c r="BD87" i="4"/>
  <c r="AW80" i="4"/>
  <c r="P49" i="4"/>
  <c r="BB85" i="4"/>
  <c r="U54" i="4"/>
  <c r="Z59" i="4"/>
  <c r="BG90" i="4"/>
  <c r="M46" i="4"/>
  <c r="AT77" i="4"/>
  <c r="AU78" i="4"/>
  <c r="N47" i="4"/>
  <c r="AB62" i="4"/>
  <c r="BI93" i="4"/>
  <c r="BE88" i="4"/>
  <c r="X57" i="4"/>
  <c r="H41" i="4"/>
  <c r="AO72" i="4"/>
  <c r="O48" i="4"/>
  <c r="AV79" i="4"/>
  <c r="R51" i="4"/>
  <c r="AY82" i="4"/>
  <c r="AB61" i="4"/>
  <c r="BI92" i="4"/>
  <c r="DU92" i="4" s="1"/>
  <c r="DU91" i="4" s="1"/>
  <c r="DU90" i="4" s="1"/>
  <c r="DU89" i="4" s="1"/>
  <c r="DU88" i="4" s="1"/>
  <c r="DU87" i="4" s="1"/>
  <c r="DU86" i="4" s="1"/>
  <c r="DU85" i="4" s="1"/>
  <c r="DU84" i="4" s="1"/>
  <c r="DU83" i="4" s="1"/>
  <c r="DU82" i="4" s="1"/>
  <c r="DU81" i="4" s="1"/>
  <c r="DU80" i="4" s="1"/>
  <c r="DU79" i="4" s="1"/>
  <c r="DU78" i="4" s="1"/>
  <c r="DU77" i="4" s="1"/>
  <c r="DU76" i="4" s="1"/>
  <c r="DU75" i="4" s="1"/>
  <c r="DU74" i="4" s="1"/>
  <c r="DU73" i="4" s="1"/>
  <c r="DU72" i="4" s="1"/>
  <c r="DU71" i="4" s="1"/>
  <c r="DU70" i="4" s="1"/>
  <c r="DU69" i="4" s="1"/>
  <c r="DU68" i="4" s="1"/>
  <c r="DU67" i="4" s="1"/>
  <c r="DU66" i="4" s="1"/>
  <c r="DU65" i="4" s="1"/>
  <c r="J43" i="4"/>
  <c r="AQ74" i="4"/>
  <c r="AA60" i="4"/>
  <c r="BH91" i="4"/>
  <c r="I43" i="4" l="1"/>
  <c r="AP74" i="4"/>
  <c r="G41" i="4"/>
  <c r="AM72" i="4" s="1"/>
  <c r="AN72" i="4"/>
  <c r="AA62" i="4"/>
  <c r="BH93" i="4"/>
  <c r="L46" i="4"/>
  <c r="AS77" i="4"/>
  <c r="H42" i="4"/>
  <c r="AO73" i="4"/>
  <c r="M47" i="4"/>
  <c r="AT78" i="4"/>
  <c r="S53" i="4"/>
  <c r="AZ84" i="4"/>
  <c r="J44" i="4"/>
  <c r="AQ75" i="4"/>
  <c r="AW81" i="4"/>
  <c r="P50" i="4"/>
  <c r="Z60" i="4"/>
  <c r="BG91" i="4"/>
  <c r="N48" i="4"/>
  <c r="AU79" i="4"/>
  <c r="Y59" i="4"/>
  <c r="BF90" i="4"/>
  <c r="BE89" i="4"/>
  <c r="X58" i="4"/>
  <c r="AC64" i="4"/>
  <c r="AC65" i="4" s="1"/>
  <c r="AC66" i="4" s="1"/>
  <c r="AC67" i="4" s="1"/>
  <c r="AC68" i="4" s="1"/>
  <c r="AC69" i="4" s="1"/>
  <c r="AC70" i="4" s="1"/>
  <c r="AC71" i="4" s="1"/>
  <c r="AC72" i="4" s="1"/>
  <c r="AC73" i="4" s="1"/>
  <c r="AC74" i="4" s="1"/>
  <c r="AC75" i="4" s="1"/>
  <c r="AC76" i="4" s="1"/>
  <c r="AC77" i="4" s="1"/>
  <c r="AC78" i="4" s="1"/>
  <c r="AC79" i="4" s="1"/>
  <c r="AC80" i="4" s="1"/>
  <c r="AC81" i="4" s="1"/>
  <c r="AC82" i="4" s="1"/>
  <c r="AC83" i="4" s="1"/>
  <c r="AC84" i="4" s="1"/>
  <c r="AC85" i="4" s="1"/>
  <c r="AC86" i="4" s="1"/>
  <c r="AC87" i="4" s="1"/>
  <c r="AC88" i="4" s="1"/>
  <c r="AC89" i="4" s="1"/>
  <c r="AC90" i="4" s="1"/>
  <c r="AC91" i="4" s="1"/>
  <c r="AC92" i="4" s="1"/>
  <c r="AC93" i="4" s="1"/>
  <c r="DU64" i="4"/>
  <c r="W57" i="4"/>
  <c r="BD88" i="4"/>
  <c r="O49" i="4"/>
  <c r="AV80" i="4"/>
  <c r="BH92" i="4"/>
  <c r="DT92" i="4" s="1"/>
  <c r="DT91" i="4" s="1"/>
  <c r="DT90" i="4" s="1"/>
  <c r="DT89" i="4" s="1"/>
  <c r="DT88" i="4" s="1"/>
  <c r="DT87" i="4" s="1"/>
  <c r="DT86" i="4" s="1"/>
  <c r="DT85" i="4" s="1"/>
  <c r="DT84" i="4" s="1"/>
  <c r="DT83" i="4" s="1"/>
  <c r="DT82" i="4" s="1"/>
  <c r="DT81" i="4" s="1"/>
  <c r="DT80" i="4" s="1"/>
  <c r="DT79" i="4" s="1"/>
  <c r="DT78" i="4" s="1"/>
  <c r="DT77" i="4" s="1"/>
  <c r="DT76" i="4" s="1"/>
  <c r="DT75" i="4" s="1"/>
  <c r="DT74" i="4" s="1"/>
  <c r="DT73" i="4" s="1"/>
  <c r="DT72" i="4" s="1"/>
  <c r="DT71" i="4" s="1"/>
  <c r="DT70" i="4" s="1"/>
  <c r="DT69" i="4" s="1"/>
  <c r="DT68" i="4" s="1"/>
  <c r="DT67" i="4" s="1"/>
  <c r="DT66" i="4" s="1"/>
  <c r="DT65" i="4" s="1"/>
  <c r="AA61" i="4"/>
  <c r="BA85" i="4"/>
  <c r="T54" i="4"/>
  <c r="U55" i="4"/>
  <c r="BB86" i="4"/>
  <c r="K45" i="4"/>
  <c r="AR76" i="4"/>
  <c r="R52" i="4"/>
  <c r="AY83" i="4"/>
  <c r="Q51" i="4"/>
  <c r="AX82" i="4"/>
  <c r="BC87" i="4"/>
  <c r="V56" i="4"/>
  <c r="X59" i="4" l="1"/>
  <c r="BE90" i="4"/>
  <c r="Y60" i="4"/>
  <c r="BF91" i="4"/>
  <c r="AP75" i="4"/>
  <c r="I44" i="4"/>
  <c r="L47" i="4"/>
  <c r="AS78" i="4"/>
  <c r="K46" i="4"/>
  <c r="AR77" i="4"/>
  <c r="Q52" i="4"/>
  <c r="AX83" i="4"/>
  <c r="BA86" i="4"/>
  <c r="T55" i="4"/>
  <c r="AZ85" i="4"/>
  <c r="S54" i="4"/>
  <c r="AW82" i="4"/>
  <c r="P51" i="4"/>
  <c r="AQ76" i="4"/>
  <c r="J45" i="4"/>
  <c r="N49" i="4"/>
  <c r="AU80" i="4"/>
  <c r="BB87" i="4"/>
  <c r="U56" i="4"/>
  <c r="Z61" i="4"/>
  <c r="BG92" i="4"/>
  <c r="DS92" i="4" s="1"/>
  <c r="DS91" i="4" s="1"/>
  <c r="DS90" i="4" s="1"/>
  <c r="DS89" i="4" s="1"/>
  <c r="DS88" i="4" s="1"/>
  <c r="DS87" i="4" s="1"/>
  <c r="DS86" i="4" s="1"/>
  <c r="DS85" i="4" s="1"/>
  <c r="DS84" i="4" s="1"/>
  <c r="DS83" i="4" s="1"/>
  <c r="DS82" i="4" s="1"/>
  <c r="DS81" i="4" s="1"/>
  <c r="DS80" i="4" s="1"/>
  <c r="DS79" i="4" s="1"/>
  <c r="DS78" i="4" s="1"/>
  <c r="DS77" i="4" s="1"/>
  <c r="DS76" i="4" s="1"/>
  <c r="DS75" i="4" s="1"/>
  <c r="DS74" i="4" s="1"/>
  <c r="DS73" i="4" s="1"/>
  <c r="DS72" i="4" s="1"/>
  <c r="DS71" i="4" s="1"/>
  <c r="DS70" i="4" s="1"/>
  <c r="DS69" i="4" s="1"/>
  <c r="DS68" i="4" s="1"/>
  <c r="DS67" i="4" s="1"/>
  <c r="DS66" i="4" s="1"/>
  <c r="DS65" i="4" s="1"/>
  <c r="W58" i="4"/>
  <c r="BD89" i="4"/>
  <c r="O50" i="4"/>
  <c r="AV81" i="4"/>
  <c r="AB64" i="4"/>
  <c r="AB65" i="4" s="1"/>
  <c r="AB66" i="4" s="1"/>
  <c r="AB67" i="4" s="1"/>
  <c r="AB68" i="4" s="1"/>
  <c r="AB69" i="4" s="1"/>
  <c r="AB70" i="4" s="1"/>
  <c r="AB71" i="4" s="1"/>
  <c r="AB72" i="4" s="1"/>
  <c r="AB73" i="4" s="1"/>
  <c r="AB74" i="4" s="1"/>
  <c r="AB75" i="4" s="1"/>
  <c r="AB76" i="4" s="1"/>
  <c r="AB77" i="4" s="1"/>
  <c r="AB78" i="4" s="1"/>
  <c r="AB79" i="4" s="1"/>
  <c r="AB80" i="4" s="1"/>
  <c r="AB81" i="4" s="1"/>
  <c r="AB82" i="4" s="1"/>
  <c r="AB83" i="4" s="1"/>
  <c r="AB84" i="4" s="1"/>
  <c r="AB85" i="4" s="1"/>
  <c r="AB86" i="4" s="1"/>
  <c r="AB87" i="4" s="1"/>
  <c r="AB88" i="4" s="1"/>
  <c r="AB89" i="4" s="1"/>
  <c r="AB90" i="4" s="1"/>
  <c r="AB91" i="4" s="1"/>
  <c r="AB92" i="4" s="1"/>
  <c r="AB93" i="4" s="1"/>
  <c r="DT64" i="4"/>
  <c r="BC88" i="4"/>
  <c r="V57" i="4"/>
  <c r="M48" i="4"/>
  <c r="AT79" i="4"/>
  <c r="AY84" i="4"/>
  <c r="R53" i="4"/>
  <c r="AN73" i="4"/>
  <c r="G42" i="4"/>
  <c r="AM73" i="4" s="1"/>
  <c r="Z62" i="4"/>
  <c r="BG93" i="4"/>
  <c r="H43" i="4"/>
  <c r="AO74" i="4"/>
  <c r="V58" i="4" l="1"/>
  <c r="BC89" i="4"/>
  <c r="P52" i="4"/>
  <c r="AW83" i="4"/>
  <c r="AR78" i="4"/>
  <c r="K47" i="4"/>
  <c r="BE91" i="4"/>
  <c r="X60" i="4"/>
  <c r="AA64" i="4"/>
  <c r="AA65" i="4" s="1"/>
  <c r="AA66" i="4" s="1"/>
  <c r="AA67" i="4" s="1"/>
  <c r="AA68" i="4" s="1"/>
  <c r="AA69" i="4" s="1"/>
  <c r="AA70" i="4" s="1"/>
  <c r="AA71" i="4" s="1"/>
  <c r="AA72" i="4" s="1"/>
  <c r="AA73" i="4" s="1"/>
  <c r="AA74" i="4" s="1"/>
  <c r="AA75" i="4" s="1"/>
  <c r="AA76" i="4" s="1"/>
  <c r="AA77" i="4" s="1"/>
  <c r="AA78" i="4" s="1"/>
  <c r="AA79" i="4" s="1"/>
  <c r="AA80" i="4" s="1"/>
  <c r="AA81" i="4" s="1"/>
  <c r="AA82" i="4" s="1"/>
  <c r="AA83" i="4" s="1"/>
  <c r="AA84" i="4" s="1"/>
  <c r="AA85" i="4" s="1"/>
  <c r="AA86" i="4" s="1"/>
  <c r="AA87" i="4" s="1"/>
  <c r="AA88" i="4" s="1"/>
  <c r="AA89" i="4" s="1"/>
  <c r="AA90" i="4" s="1"/>
  <c r="AA91" i="4" s="1"/>
  <c r="AA92" i="4" s="1"/>
  <c r="AA93" i="4" s="1"/>
  <c r="DS64" i="4"/>
  <c r="O51" i="4"/>
  <c r="AV82" i="4"/>
  <c r="AZ86" i="4"/>
  <c r="S55" i="4"/>
  <c r="H44" i="4"/>
  <c r="AO75" i="4"/>
  <c r="BA87" i="4"/>
  <c r="T56" i="4"/>
  <c r="I45" i="4"/>
  <c r="AP76" i="4"/>
  <c r="R54" i="4"/>
  <c r="AY85" i="4"/>
  <c r="G43" i="4"/>
  <c r="AM74" i="4" s="1"/>
  <c r="AN74" i="4"/>
  <c r="L48" i="4"/>
  <c r="AS79" i="4"/>
  <c r="Q53" i="4"/>
  <c r="AX84" i="4"/>
  <c r="BB88" i="4"/>
  <c r="U57" i="4"/>
  <c r="Y62" i="4"/>
  <c r="BF93" i="4"/>
  <c r="AU81" i="4"/>
  <c r="N50" i="4"/>
  <c r="Y61" i="4"/>
  <c r="BF92" i="4"/>
  <c r="DR92" i="4" s="1"/>
  <c r="DR91" i="4" s="1"/>
  <c r="DR90" i="4" s="1"/>
  <c r="DR89" i="4" s="1"/>
  <c r="DR88" i="4" s="1"/>
  <c r="DR87" i="4" s="1"/>
  <c r="DR86" i="4" s="1"/>
  <c r="DR85" i="4" s="1"/>
  <c r="DR84" i="4" s="1"/>
  <c r="DR83" i="4" s="1"/>
  <c r="DR82" i="4" s="1"/>
  <c r="DR81" i="4" s="1"/>
  <c r="DR80" i="4" s="1"/>
  <c r="DR79" i="4" s="1"/>
  <c r="DR78" i="4" s="1"/>
  <c r="DR77" i="4" s="1"/>
  <c r="DR76" i="4" s="1"/>
  <c r="DR75" i="4" s="1"/>
  <c r="DR74" i="4" s="1"/>
  <c r="DR73" i="4" s="1"/>
  <c r="DR72" i="4" s="1"/>
  <c r="DR71" i="4" s="1"/>
  <c r="DR70" i="4" s="1"/>
  <c r="DR69" i="4" s="1"/>
  <c r="DR68" i="4" s="1"/>
  <c r="DR67" i="4" s="1"/>
  <c r="DR66" i="4" s="1"/>
  <c r="DR65" i="4" s="1"/>
  <c r="AT80" i="4"/>
  <c r="M49" i="4"/>
  <c r="AQ77" i="4"/>
  <c r="J46" i="4"/>
  <c r="W59" i="4"/>
  <c r="BD90" i="4"/>
  <c r="V59" i="4" l="1"/>
  <c r="BC90" i="4"/>
  <c r="AR79" i="4"/>
  <c r="K48" i="4"/>
  <c r="Q54" i="4"/>
  <c r="AX85" i="4"/>
  <c r="I46" i="4"/>
  <c r="AP77" i="4"/>
  <c r="BD91" i="4"/>
  <c r="W60" i="4"/>
  <c r="X61" i="4"/>
  <c r="BE92" i="4"/>
  <c r="DQ92" i="4" s="1"/>
  <c r="DQ91" i="4" s="1"/>
  <c r="DQ90" i="4" s="1"/>
  <c r="DQ89" i="4" s="1"/>
  <c r="DQ88" i="4" s="1"/>
  <c r="DQ87" i="4" s="1"/>
  <c r="DQ86" i="4" s="1"/>
  <c r="DQ85" i="4" s="1"/>
  <c r="DQ84" i="4" s="1"/>
  <c r="DQ83" i="4" s="1"/>
  <c r="DQ82" i="4" s="1"/>
  <c r="DQ81" i="4" s="1"/>
  <c r="DQ80" i="4" s="1"/>
  <c r="DQ79" i="4" s="1"/>
  <c r="DQ78" i="4" s="1"/>
  <c r="DQ77" i="4" s="1"/>
  <c r="DQ76" i="4" s="1"/>
  <c r="DQ75" i="4" s="1"/>
  <c r="DQ74" i="4" s="1"/>
  <c r="DQ73" i="4" s="1"/>
  <c r="DQ72" i="4" s="1"/>
  <c r="DQ71" i="4" s="1"/>
  <c r="DQ70" i="4" s="1"/>
  <c r="DQ69" i="4" s="1"/>
  <c r="DQ68" i="4" s="1"/>
  <c r="DQ67" i="4" s="1"/>
  <c r="DQ66" i="4" s="1"/>
  <c r="DQ65" i="4" s="1"/>
  <c r="X62" i="4"/>
  <c r="BE93" i="4"/>
  <c r="AW84" i="4"/>
  <c r="P53" i="4"/>
  <c r="AO76" i="4"/>
  <c r="H45" i="4"/>
  <c r="G44" i="4"/>
  <c r="AM75" i="4" s="1"/>
  <c r="AN75" i="4"/>
  <c r="AU82" i="4"/>
  <c r="N51" i="4"/>
  <c r="O52" i="4"/>
  <c r="AV83" i="4"/>
  <c r="Z64" i="4"/>
  <c r="Z65" i="4" s="1"/>
  <c r="Z66" i="4" s="1"/>
  <c r="Z67" i="4" s="1"/>
  <c r="Z68" i="4" s="1"/>
  <c r="Z69" i="4" s="1"/>
  <c r="Z70" i="4" s="1"/>
  <c r="Z71" i="4" s="1"/>
  <c r="Z72" i="4" s="1"/>
  <c r="Z73" i="4" s="1"/>
  <c r="Z74" i="4" s="1"/>
  <c r="Z75" i="4" s="1"/>
  <c r="Z76" i="4" s="1"/>
  <c r="Z77" i="4" s="1"/>
  <c r="Z78" i="4" s="1"/>
  <c r="Z79" i="4" s="1"/>
  <c r="Z80" i="4" s="1"/>
  <c r="Z81" i="4" s="1"/>
  <c r="Z82" i="4" s="1"/>
  <c r="Z83" i="4" s="1"/>
  <c r="Z84" i="4" s="1"/>
  <c r="Z85" i="4" s="1"/>
  <c r="Z86" i="4" s="1"/>
  <c r="Z87" i="4" s="1"/>
  <c r="Z88" i="4" s="1"/>
  <c r="Z89" i="4" s="1"/>
  <c r="Z90" i="4" s="1"/>
  <c r="Z91" i="4" s="1"/>
  <c r="Z92" i="4" s="1"/>
  <c r="Z93" i="4" s="1"/>
  <c r="DR64" i="4"/>
  <c r="L49" i="4"/>
  <c r="AS80" i="4"/>
  <c r="M50" i="4"/>
  <c r="AT81" i="4"/>
  <c r="BA88" i="4"/>
  <c r="T57" i="4"/>
  <c r="AZ87" i="4"/>
  <c r="S56" i="4"/>
  <c r="R55" i="4"/>
  <c r="AY86" i="4"/>
  <c r="AQ78" i="4"/>
  <c r="J47" i="4"/>
  <c r="U58" i="4"/>
  <c r="BB89" i="4"/>
  <c r="AS81" i="4" l="1"/>
  <c r="L50" i="4"/>
  <c r="AZ88" i="4"/>
  <c r="S57" i="4"/>
  <c r="AV84" i="4"/>
  <c r="O53" i="4"/>
  <c r="BA89" i="4"/>
  <c r="T58" i="4"/>
  <c r="K49" i="4"/>
  <c r="AR80" i="4"/>
  <c r="AU83" i="4"/>
  <c r="N52" i="4"/>
  <c r="BD92" i="4"/>
  <c r="DP92" i="4" s="1"/>
  <c r="DP91" i="4" s="1"/>
  <c r="DP90" i="4" s="1"/>
  <c r="DP89" i="4" s="1"/>
  <c r="DP88" i="4" s="1"/>
  <c r="DP87" i="4" s="1"/>
  <c r="DP86" i="4" s="1"/>
  <c r="DP85" i="4" s="1"/>
  <c r="DP84" i="4" s="1"/>
  <c r="DP83" i="4" s="1"/>
  <c r="DP82" i="4" s="1"/>
  <c r="DP81" i="4" s="1"/>
  <c r="DP80" i="4" s="1"/>
  <c r="DP79" i="4" s="1"/>
  <c r="DP78" i="4" s="1"/>
  <c r="DP77" i="4" s="1"/>
  <c r="DP76" i="4" s="1"/>
  <c r="DP75" i="4" s="1"/>
  <c r="DP74" i="4" s="1"/>
  <c r="DP73" i="4" s="1"/>
  <c r="DP72" i="4" s="1"/>
  <c r="DP71" i="4" s="1"/>
  <c r="DP70" i="4" s="1"/>
  <c r="DP69" i="4" s="1"/>
  <c r="DP68" i="4" s="1"/>
  <c r="DP67" i="4" s="1"/>
  <c r="DP66" i="4" s="1"/>
  <c r="DP65" i="4" s="1"/>
  <c r="W61" i="4"/>
  <c r="H46" i="4"/>
  <c r="AO77" i="4"/>
  <c r="Y64" i="4"/>
  <c r="Y65" i="4" s="1"/>
  <c r="Y66" i="4" s="1"/>
  <c r="Y67" i="4" s="1"/>
  <c r="Y68" i="4" s="1"/>
  <c r="Y69" i="4" s="1"/>
  <c r="Y70" i="4" s="1"/>
  <c r="Y71" i="4" s="1"/>
  <c r="Y72" i="4" s="1"/>
  <c r="Y73" i="4" s="1"/>
  <c r="Y74" i="4" s="1"/>
  <c r="Y75" i="4" s="1"/>
  <c r="Y76" i="4" s="1"/>
  <c r="Y77" i="4" s="1"/>
  <c r="Y78" i="4" s="1"/>
  <c r="Y79" i="4" s="1"/>
  <c r="Y80" i="4" s="1"/>
  <c r="Y81" i="4" s="1"/>
  <c r="Y82" i="4" s="1"/>
  <c r="Y83" i="4" s="1"/>
  <c r="Y84" i="4" s="1"/>
  <c r="Y85" i="4" s="1"/>
  <c r="Y86" i="4" s="1"/>
  <c r="Y87" i="4" s="1"/>
  <c r="Y88" i="4" s="1"/>
  <c r="Y89" i="4" s="1"/>
  <c r="Y90" i="4" s="1"/>
  <c r="Y91" i="4" s="1"/>
  <c r="Y92" i="4" s="1"/>
  <c r="Y93" i="4" s="1"/>
  <c r="DQ64" i="4"/>
  <c r="AQ79" i="4"/>
  <c r="J48" i="4"/>
  <c r="Q55" i="4"/>
  <c r="AX86" i="4"/>
  <c r="I47" i="4"/>
  <c r="AP78" i="4"/>
  <c r="R56" i="4"/>
  <c r="AY87" i="4"/>
  <c r="M51" i="4"/>
  <c r="AT82" i="4"/>
  <c r="G45" i="4"/>
  <c r="AM76" i="4" s="1"/>
  <c r="AN76" i="4"/>
  <c r="V60" i="4"/>
  <c r="BC91" i="4"/>
  <c r="W62" i="4"/>
  <c r="BD93" i="4"/>
  <c r="AW85" i="4"/>
  <c r="P54" i="4"/>
  <c r="U59" i="4"/>
  <c r="BB90" i="4"/>
  <c r="M52" i="4" l="1"/>
  <c r="AT83" i="4"/>
  <c r="S58" i="4"/>
  <c r="AZ89" i="4"/>
  <c r="AS82" i="4"/>
  <c r="L51" i="4"/>
  <c r="H47" i="4"/>
  <c r="AO78" i="4"/>
  <c r="G46" i="4"/>
  <c r="AM77" i="4" s="1"/>
  <c r="AN77" i="4"/>
  <c r="BA90" i="4"/>
  <c r="T59" i="4"/>
  <c r="V62" i="4"/>
  <c r="BC93" i="4"/>
  <c r="Q56" i="4"/>
  <c r="AX87" i="4"/>
  <c r="AW86" i="4"/>
  <c r="P55" i="4"/>
  <c r="AV85" i="4"/>
  <c r="O54" i="4"/>
  <c r="I48" i="4"/>
  <c r="AP79" i="4"/>
  <c r="R57" i="4"/>
  <c r="AY88" i="4"/>
  <c r="U60" i="4"/>
  <c r="BB91" i="4"/>
  <c r="V61" i="4"/>
  <c r="BC92" i="4"/>
  <c r="DO92" i="4" s="1"/>
  <c r="DO91" i="4" s="1"/>
  <c r="DO90" i="4" s="1"/>
  <c r="DO89" i="4" s="1"/>
  <c r="DO88" i="4" s="1"/>
  <c r="DO87" i="4" s="1"/>
  <c r="DO86" i="4" s="1"/>
  <c r="DO85" i="4" s="1"/>
  <c r="DO84" i="4" s="1"/>
  <c r="DO83" i="4" s="1"/>
  <c r="DO82" i="4" s="1"/>
  <c r="DO81" i="4" s="1"/>
  <c r="DO80" i="4" s="1"/>
  <c r="DO79" i="4" s="1"/>
  <c r="DO78" i="4" s="1"/>
  <c r="DO77" i="4" s="1"/>
  <c r="DO76" i="4" s="1"/>
  <c r="DO75" i="4" s="1"/>
  <c r="DO74" i="4" s="1"/>
  <c r="DO73" i="4" s="1"/>
  <c r="DO72" i="4" s="1"/>
  <c r="DO71" i="4" s="1"/>
  <c r="DO70" i="4" s="1"/>
  <c r="DO69" i="4" s="1"/>
  <c r="DO68" i="4" s="1"/>
  <c r="DO67" i="4" s="1"/>
  <c r="DO66" i="4" s="1"/>
  <c r="DO65" i="4" s="1"/>
  <c r="N53" i="4"/>
  <c r="AU84" i="4"/>
  <c r="K50" i="4"/>
  <c r="AR81" i="4"/>
  <c r="DP64" i="4"/>
  <c r="X64" i="4"/>
  <c r="X65" i="4" s="1"/>
  <c r="X66" i="4" s="1"/>
  <c r="X67" i="4" s="1"/>
  <c r="X68" i="4" s="1"/>
  <c r="X69" i="4" s="1"/>
  <c r="X70" i="4" s="1"/>
  <c r="X71" i="4" s="1"/>
  <c r="X72" i="4" s="1"/>
  <c r="X73" i="4" s="1"/>
  <c r="X74" i="4" s="1"/>
  <c r="X75" i="4" s="1"/>
  <c r="X76" i="4" s="1"/>
  <c r="X77" i="4" s="1"/>
  <c r="X78" i="4" s="1"/>
  <c r="X79" i="4" s="1"/>
  <c r="X80" i="4" s="1"/>
  <c r="X81" i="4" s="1"/>
  <c r="X82" i="4" s="1"/>
  <c r="X83" i="4" s="1"/>
  <c r="X84" i="4" s="1"/>
  <c r="X85" i="4" s="1"/>
  <c r="X86" i="4" s="1"/>
  <c r="X87" i="4" s="1"/>
  <c r="X88" i="4" s="1"/>
  <c r="X89" i="4" s="1"/>
  <c r="X90" i="4" s="1"/>
  <c r="X91" i="4" s="1"/>
  <c r="X92" i="4" s="1"/>
  <c r="X93" i="4" s="1"/>
  <c r="J49" i="4"/>
  <c r="AQ80" i="4"/>
  <c r="W64" i="4" l="1"/>
  <c r="W65" i="4" s="1"/>
  <c r="W66" i="4" s="1"/>
  <c r="W67" i="4" s="1"/>
  <c r="W68" i="4" s="1"/>
  <c r="W69" i="4" s="1"/>
  <c r="W70" i="4" s="1"/>
  <c r="W71" i="4" s="1"/>
  <c r="W72" i="4" s="1"/>
  <c r="W73" i="4" s="1"/>
  <c r="W74" i="4" s="1"/>
  <c r="W75" i="4" s="1"/>
  <c r="W76" i="4" s="1"/>
  <c r="W77" i="4" s="1"/>
  <c r="W78" i="4" s="1"/>
  <c r="W79" i="4" s="1"/>
  <c r="W80" i="4" s="1"/>
  <c r="W81" i="4" s="1"/>
  <c r="W82" i="4" s="1"/>
  <c r="W83" i="4" s="1"/>
  <c r="W84" i="4" s="1"/>
  <c r="W85" i="4" s="1"/>
  <c r="W86" i="4" s="1"/>
  <c r="W87" i="4" s="1"/>
  <c r="W88" i="4" s="1"/>
  <c r="W89" i="4" s="1"/>
  <c r="W90" i="4" s="1"/>
  <c r="W91" i="4" s="1"/>
  <c r="W92" i="4" s="1"/>
  <c r="W93" i="4" s="1"/>
  <c r="DO64" i="4"/>
  <c r="AU85" i="4"/>
  <c r="N54" i="4"/>
  <c r="O55" i="4"/>
  <c r="AV86" i="4"/>
  <c r="K51" i="4"/>
  <c r="AR82" i="4"/>
  <c r="S59" i="4"/>
  <c r="AZ90" i="4"/>
  <c r="AP80" i="4"/>
  <c r="I49" i="4"/>
  <c r="J50" i="4"/>
  <c r="AQ81" i="4"/>
  <c r="BB92" i="4"/>
  <c r="DN92" i="4" s="1"/>
  <c r="DN91" i="4" s="1"/>
  <c r="DN90" i="4" s="1"/>
  <c r="DN89" i="4" s="1"/>
  <c r="DN88" i="4" s="1"/>
  <c r="DN87" i="4" s="1"/>
  <c r="DN86" i="4" s="1"/>
  <c r="DN85" i="4" s="1"/>
  <c r="DN84" i="4" s="1"/>
  <c r="DN83" i="4" s="1"/>
  <c r="DN82" i="4" s="1"/>
  <c r="DN81" i="4" s="1"/>
  <c r="DN80" i="4" s="1"/>
  <c r="DN79" i="4" s="1"/>
  <c r="DN78" i="4" s="1"/>
  <c r="DN77" i="4" s="1"/>
  <c r="DN76" i="4" s="1"/>
  <c r="DN75" i="4" s="1"/>
  <c r="DN74" i="4" s="1"/>
  <c r="DN73" i="4" s="1"/>
  <c r="DN72" i="4" s="1"/>
  <c r="DN71" i="4" s="1"/>
  <c r="DN70" i="4" s="1"/>
  <c r="DN69" i="4" s="1"/>
  <c r="DN68" i="4" s="1"/>
  <c r="DN67" i="4" s="1"/>
  <c r="DN66" i="4" s="1"/>
  <c r="DN65" i="4" s="1"/>
  <c r="U61" i="4"/>
  <c r="Q57" i="4"/>
  <c r="AX88" i="4"/>
  <c r="AW87" i="4"/>
  <c r="P56" i="4"/>
  <c r="G47" i="4"/>
  <c r="AM78" i="4" s="1"/>
  <c r="AN78" i="4"/>
  <c r="R58" i="4"/>
  <c r="AY89" i="4"/>
  <c r="AT84" i="4"/>
  <c r="M53" i="4"/>
  <c r="BA91" i="4"/>
  <c r="T60" i="4"/>
  <c r="H48" i="4"/>
  <c r="AO79" i="4"/>
  <c r="U62" i="4"/>
  <c r="BB93" i="4"/>
  <c r="AS83" i="4"/>
  <c r="L52" i="4"/>
  <c r="V64" i="4" l="1"/>
  <c r="V65" i="4" s="1"/>
  <c r="V66" i="4" s="1"/>
  <c r="V67" i="4" s="1"/>
  <c r="V68" i="4" s="1"/>
  <c r="V69" i="4" s="1"/>
  <c r="V70" i="4" s="1"/>
  <c r="V71" i="4" s="1"/>
  <c r="V72" i="4" s="1"/>
  <c r="V73" i="4" s="1"/>
  <c r="V74" i="4" s="1"/>
  <c r="V75" i="4" s="1"/>
  <c r="V76" i="4" s="1"/>
  <c r="V77" i="4" s="1"/>
  <c r="V78" i="4" s="1"/>
  <c r="V79" i="4" s="1"/>
  <c r="V80" i="4" s="1"/>
  <c r="V81" i="4" s="1"/>
  <c r="V82" i="4" s="1"/>
  <c r="V83" i="4" s="1"/>
  <c r="V84" i="4" s="1"/>
  <c r="V85" i="4" s="1"/>
  <c r="V86" i="4" s="1"/>
  <c r="V87" i="4" s="1"/>
  <c r="V88" i="4" s="1"/>
  <c r="V89" i="4" s="1"/>
  <c r="V90" i="4" s="1"/>
  <c r="V91" i="4" s="1"/>
  <c r="V92" i="4" s="1"/>
  <c r="V93" i="4" s="1"/>
  <c r="DN64" i="4"/>
  <c r="AQ82" i="4"/>
  <c r="J51" i="4"/>
  <c r="AZ91" i="4"/>
  <c r="S60" i="4"/>
  <c r="O56" i="4"/>
  <c r="AV87" i="4"/>
  <c r="T61" i="4"/>
  <c r="BA92" i="4"/>
  <c r="DM92" i="4" s="1"/>
  <c r="DM91" i="4" s="1"/>
  <c r="DM90" i="4" s="1"/>
  <c r="DM89" i="4" s="1"/>
  <c r="DM88" i="4" s="1"/>
  <c r="DM87" i="4" s="1"/>
  <c r="DM86" i="4" s="1"/>
  <c r="DM85" i="4" s="1"/>
  <c r="DM84" i="4" s="1"/>
  <c r="DM83" i="4" s="1"/>
  <c r="DM82" i="4" s="1"/>
  <c r="DM81" i="4" s="1"/>
  <c r="DM80" i="4" s="1"/>
  <c r="DM79" i="4" s="1"/>
  <c r="DM78" i="4" s="1"/>
  <c r="DM77" i="4" s="1"/>
  <c r="DM76" i="4" s="1"/>
  <c r="DM75" i="4" s="1"/>
  <c r="DM74" i="4" s="1"/>
  <c r="DM73" i="4" s="1"/>
  <c r="DM72" i="4" s="1"/>
  <c r="DM71" i="4" s="1"/>
  <c r="DM70" i="4" s="1"/>
  <c r="DM69" i="4" s="1"/>
  <c r="DM68" i="4" s="1"/>
  <c r="DM67" i="4" s="1"/>
  <c r="DM66" i="4" s="1"/>
  <c r="DM65" i="4" s="1"/>
  <c r="AO80" i="4"/>
  <c r="H49" i="4"/>
  <c r="AT85" i="4"/>
  <c r="M54" i="4"/>
  <c r="T62" i="4"/>
  <c r="BA93" i="4"/>
  <c r="Q58" i="4"/>
  <c r="AX89" i="4"/>
  <c r="AR83" i="4"/>
  <c r="K52" i="4"/>
  <c r="L53" i="4"/>
  <c r="AS84" i="4"/>
  <c r="G48" i="4"/>
  <c r="AM79" i="4" s="1"/>
  <c r="AN79" i="4"/>
  <c r="AW88" i="4"/>
  <c r="P57" i="4"/>
  <c r="I50" i="4"/>
  <c r="AP81" i="4"/>
  <c r="R59" i="4"/>
  <c r="AY90" i="4"/>
  <c r="N55" i="4"/>
  <c r="AU86" i="4"/>
  <c r="M55" i="4" l="1"/>
  <c r="AT86" i="4"/>
  <c r="S62" i="4"/>
  <c r="AZ93" i="4"/>
  <c r="N56" i="4"/>
  <c r="AU87" i="4"/>
  <c r="AQ83" i="4"/>
  <c r="J52" i="4"/>
  <c r="AN80" i="4"/>
  <c r="G49" i="4"/>
  <c r="AM80" i="4" s="1"/>
  <c r="AP82" i="4"/>
  <c r="I51" i="4"/>
  <c r="H50" i="4"/>
  <c r="AO81" i="4"/>
  <c r="AV88" i="4"/>
  <c r="O57" i="4"/>
  <c r="AS85" i="4"/>
  <c r="L54" i="4"/>
  <c r="U64" i="4"/>
  <c r="U65" i="4" s="1"/>
  <c r="U66" i="4" s="1"/>
  <c r="U67" i="4" s="1"/>
  <c r="U68" i="4" s="1"/>
  <c r="U69" i="4" s="1"/>
  <c r="U70" i="4" s="1"/>
  <c r="U71" i="4" s="1"/>
  <c r="U72" i="4" s="1"/>
  <c r="U73" i="4" s="1"/>
  <c r="U74" i="4" s="1"/>
  <c r="U75" i="4" s="1"/>
  <c r="U76" i="4" s="1"/>
  <c r="U77" i="4" s="1"/>
  <c r="U78" i="4" s="1"/>
  <c r="U79" i="4" s="1"/>
  <c r="U80" i="4" s="1"/>
  <c r="U81" i="4" s="1"/>
  <c r="U82" i="4" s="1"/>
  <c r="U83" i="4" s="1"/>
  <c r="U84" i="4" s="1"/>
  <c r="U85" i="4" s="1"/>
  <c r="U86" i="4" s="1"/>
  <c r="U87" i="4" s="1"/>
  <c r="U88" i="4" s="1"/>
  <c r="U89" i="4" s="1"/>
  <c r="U90" i="4" s="1"/>
  <c r="U91" i="4" s="1"/>
  <c r="U92" i="4" s="1"/>
  <c r="U93" i="4" s="1"/>
  <c r="DM64" i="4"/>
  <c r="AY91" i="4"/>
  <c r="R60" i="4"/>
  <c r="Q59" i="4"/>
  <c r="AX90" i="4"/>
  <c r="K53" i="4"/>
  <c r="AR84" i="4"/>
  <c r="P58" i="4"/>
  <c r="AW89" i="4"/>
  <c r="S61" i="4"/>
  <c r="AZ92" i="4"/>
  <c r="DL92" i="4" s="1"/>
  <c r="DL91" i="4" s="1"/>
  <c r="DL90" i="4" s="1"/>
  <c r="DL89" i="4" s="1"/>
  <c r="DL88" i="4" s="1"/>
  <c r="DL87" i="4" s="1"/>
  <c r="DL86" i="4" s="1"/>
  <c r="DL85" i="4" s="1"/>
  <c r="DL84" i="4" s="1"/>
  <c r="DL83" i="4" s="1"/>
  <c r="DL82" i="4" s="1"/>
  <c r="DL81" i="4" s="1"/>
  <c r="DL80" i="4" s="1"/>
  <c r="DL79" i="4" s="1"/>
  <c r="DL78" i="4" s="1"/>
  <c r="DL77" i="4" s="1"/>
  <c r="DL76" i="4" s="1"/>
  <c r="DL75" i="4" s="1"/>
  <c r="DL74" i="4" s="1"/>
  <c r="DL73" i="4" s="1"/>
  <c r="DL72" i="4" s="1"/>
  <c r="DL71" i="4" s="1"/>
  <c r="DL70" i="4" s="1"/>
  <c r="DL69" i="4" s="1"/>
  <c r="DL68" i="4" s="1"/>
  <c r="DL67" i="4" s="1"/>
  <c r="DL66" i="4" s="1"/>
  <c r="DL65" i="4" s="1"/>
  <c r="N57" i="4" l="1"/>
  <c r="AU88" i="4"/>
  <c r="H51" i="4"/>
  <c r="AO82" i="4"/>
  <c r="I52" i="4"/>
  <c r="AP83" i="4"/>
  <c r="AV89" i="4"/>
  <c r="O58" i="4"/>
  <c r="P59" i="4"/>
  <c r="AW90" i="4"/>
  <c r="R62" i="4"/>
  <c r="AY93" i="4"/>
  <c r="T64" i="4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DL64" i="4"/>
  <c r="Q60" i="4"/>
  <c r="AX91" i="4"/>
  <c r="AR85" i="4"/>
  <c r="K54" i="4"/>
  <c r="AY92" i="4"/>
  <c r="DK92" i="4" s="1"/>
  <c r="DK91" i="4" s="1"/>
  <c r="DK90" i="4" s="1"/>
  <c r="DK89" i="4" s="1"/>
  <c r="DK88" i="4" s="1"/>
  <c r="DK87" i="4" s="1"/>
  <c r="DK86" i="4" s="1"/>
  <c r="DK85" i="4" s="1"/>
  <c r="DK84" i="4" s="1"/>
  <c r="DK83" i="4" s="1"/>
  <c r="DK82" i="4" s="1"/>
  <c r="DK81" i="4" s="1"/>
  <c r="DK80" i="4" s="1"/>
  <c r="DK79" i="4" s="1"/>
  <c r="DK78" i="4" s="1"/>
  <c r="DK77" i="4" s="1"/>
  <c r="DK76" i="4" s="1"/>
  <c r="DK75" i="4" s="1"/>
  <c r="DK74" i="4" s="1"/>
  <c r="DK73" i="4" s="1"/>
  <c r="DK72" i="4" s="1"/>
  <c r="DK71" i="4" s="1"/>
  <c r="DK70" i="4" s="1"/>
  <c r="DK69" i="4" s="1"/>
  <c r="DK68" i="4" s="1"/>
  <c r="DK67" i="4" s="1"/>
  <c r="DK66" i="4" s="1"/>
  <c r="DK65" i="4" s="1"/>
  <c r="R61" i="4"/>
  <c r="AQ84" i="4"/>
  <c r="J53" i="4"/>
  <c r="G50" i="4"/>
  <c r="AM81" i="4" s="1"/>
  <c r="AN81" i="4"/>
  <c r="M56" i="4"/>
  <c r="AT87" i="4"/>
  <c r="AS86" i="4"/>
  <c r="L55" i="4"/>
  <c r="L56" i="4" l="1"/>
  <c r="AS87" i="4"/>
  <c r="K55" i="4"/>
  <c r="AR86" i="4"/>
  <c r="AX92" i="4"/>
  <c r="DJ92" i="4" s="1"/>
  <c r="DJ91" i="4" s="1"/>
  <c r="DJ90" i="4" s="1"/>
  <c r="DJ89" i="4" s="1"/>
  <c r="DJ88" i="4" s="1"/>
  <c r="DJ87" i="4" s="1"/>
  <c r="DJ86" i="4" s="1"/>
  <c r="DJ85" i="4" s="1"/>
  <c r="DJ84" i="4" s="1"/>
  <c r="DJ83" i="4" s="1"/>
  <c r="DJ82" i="4" s="1"/>
  <c r="DJ81" i="4" s="1"/>
  <c r="DJ80" i="4" s="1"/>
  <c r="DJ79" i="4" s="1"/>
  <c r="DJ78" i="4" s="1"/>
  <c r="DJ77" i="4" s="1"/>
  <c r="DJ76" i="4" s="1"/>
  <c r="DJ75" i="4" s="1"/>
  <c r="DJ74" i="4" s="1"/>
  <c r="DJ73" i="4" s="1"/>
  <c r="DJ72" i="4" s="1"/>
  <c r="DJ71" i="4" s="1"/>
  <c r="DJ70" i="4" s="1"/>
  <c r="DJ69" i="4" s="1"/>
  <c r="DJ68" i="4" s="1"/>
  <c r="DJ67" i="4" s="1"/>
  <c r="DJ66" i="4" s="1"/>
  <c r="DJ65" i="4" s="1"/>
  <c r="Q61" i="4"/>
  <c r="N58" i="4"/>
  <c r="AU89" i="4"/>
  <c r="S64" i="4"/>
  <c r="S65" i="4" s="1"/>
  <c r="S66" i="4" s="1"/>
  <c r="S67" i="4" s="1"/>
  <c r="S68" i="4" s="1"/>
  <c r="S69" i="4" s="1"/>
  <c r="S70" i="4" s="1"/>
  <c r="S71" i="4" s="1"/>
  <c r="S72" i="4" s="1"/>
  <c r="S73" i="4" s="1"/>
  <c r="S74" i="4" s="1"/>
  <c r="S75" i="4" s="1"/>
  <c r="S76" i="4" s="1"/>
  <c r="S77" i="4" s="1"/>
  <c r="S78" i="4" s="1"/>
  <c r="S79" i="4" s="1"/>
  <c r="S80" i="4" s="1"/>
  <c r="S81" i="4" s="1"/>
  <c r="S82" i="4" s="1"/>
  <c r="S83" i="4" s="1"/>
  <c r="S84" i="4" s="1"/>
  <c r="S85" i="4" s="1"/>
  <c r="S86" i="4" s="1"/>
  <c r="S87" i="4" s="1"/>
  <c r="S88" i="4" s="1"/>
  <c r="S89" i="4" s="1"/>
  <c r="S90" i="4" s="1"/>
  <c r="S91" i="4" s="1"/>
  <c r="S92" i="4" s="1"/>
  <c r="S93" i="4" s="1"/>
  <c r="DK64" i="4"/>
  <c r="AW91" i="4"/>
  <c r="P60" i="4"/>
  <c r="Q62" i="4"/>
  <c r="AX93" i="4"/>
  <c r="G51" i="4"/>
  <c r="AM82" i="4" s="1"/>
  <c r="AN82" i="4"/>
  <c r="I53" i="4"/>
  <c r="AP84" i="4"/>
  <c r="AQ85" i="4"/>
  <c r="J54" i="4"/>
  <c r="AV90" i="4"/>
  <c r="O59" i="4"/>
  <c r="H52" i="4"/>
  <c r="AO83" i="4"/>
  <c r="AT88" i="4"/>
  <c r="M57" i="4"/>
  <c r="AT89" i="4" l="1"/>
  <c r="M58" i="4"/>
  <c r="AQ86" i="4"/>
  <c r="J55" i="4"/>
  <c r="AO84" i="4"/>
  <c r="H53" i="4"/>
  <c r="P62" i="4"/>
  <c r="AW93" i="4"/>
  <c r="I54" i="4"/>
  <c r="AP85" i="4"/>
  <c r="O60" i="4"/>
  <c r="AV91" i="4"/>
  <c r="AN83" i="4"/>
  <c r="G52" i="4"/>
  <c r="AM83" i="4" s="1"/>
  <c r="L57" i="4"/>
  <c r="AS88" i="4"/>
  <c r="AU90" i="4"/>
  <c r="N59" i="4"/>
  <c r="AW92" i="4"/>
  <c r="DI92" i="4" s="1"/>
  <c r="DI91" i="4" s="1"/>
  <c r="DI90" i="4" s="1"/>
  <c r="DI89" i="4" s="1"/>
  <c r="DI88" i="4" s="1"/>
  <c r="DI87" i="4" s="1"/>
  <c r="DI86" i="4" s="1"/>
  <c r="DI85" i="4" s="1"/>
  <c r="DI84" i="4" s="1"/>
  <c r="DI83" i="4" s="1"/>
  <c r="DI82" i="4" s="1"/>
  <c r="DI81" i="4" s="1"/>
  <c r="DI80" i="4" s="1"/>
  <c r="DI79" i="4" s="1"/>
  <c r="DI78" i="4" s="1"/>
  <c r="DI77" i="4" s="1"/>
  <c r="DI76" i="4" s="1"/>
  <c r="DI75" i="4" s="1"/>
  <c r="DI74" i="4" s="1"/>
  <c r="DI73" i="4" s="1"/>
  <c r="DI72" i="4" s="1"/>
  <c r="DI71" i="4" s="1"/>
  <c r="DI70" i="4" s="1"/>
  <c r="DI69" i="4" s="1"/>
  <c r="DI68" i="4" s="1"/>
  <c r="DI67" i="4" s="1"/>
  <c r="DI66" i="4" s="1"/>
  <c r="DI65" i="4" s="1"/>
  <c r="P61" i="4"/>
  <c r="R64" i="4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DJ64" i="4"/>
  <c r="AR87" i="4"/>
  <c r="K56" i="4"/>
  <c r="Q64" i="4" l="1"/>
  <c r="Q65" i="4" s="1"/>
  <c r="Q66" i="4" s="1"/>
  <c r="Q67" i="4" s="1"/>
  <c r="Q68" i="4" s="1"/>
  <c r="Q69" i="4" s="1"/>
  <c r="Q70" i="4" s="1"/>
  <c r="Q71" i="4" s="1"/>
  <c r="Q72" i="4" s="1"/>
  <c r="Q73" i="4" s="1"/>
  <c r="Q74" i="4" s="1"/>
  <c r="Q75" i="4" s="1"/>
  <c r="Q76" i="4" s="1"/>
  <c r="Q77" i="4" s="1"/>
  <c r="Q78" i="4" s="1"/>
  <c r="Q79" i="4" s="1"/>
  <c r="Q80" i="4" s="1"/>
  <c r="Q81" i="4" s="1"/>
  <c r="Q82" i="4" s="1"/>
  <c r="Q83" i="4" s="1"/>
  <c r="Q84" i="4" s="1"/>
  <c r="Q85" i="4" s="1"/>
  <c r="Q86" i="4" s="1"/>
  <c r="Q87" i="4" s="1"/>
  <c r="Q88" i="4" s="1"/>
  <c r="Q89" i="4" s="1"/>
  <c r="Q90" i="4" s="1"/>
  <c r="Q91" i="4" s="1"/>
  <c r="Q92" i="4" s="1"/>
  <c r="Q93" i="4" s="1"/>
  <c r="DI64" i="4"/>
  <c r="K57" i="4"/>
  <c r="AR88" i="4"/>
  <c r="AU91" i="4"/>
  <c r="N60" i="4"/>
  <c r="O62" i="4"/>
  <c r="AV93" i="4"/>
  <c r="AT90" i="4"/>
  <c r="M59" i="4"/>
  <c r="AN84" i="4"/>
  <c r="G53" i="4"/>
  <c r="AM84" i="4" s="1"/>
  <c r="AS89" i="4"/>
  <c r="L58" i="4"/>
  <c r="AQ87" i="4"/>
  <c r="J56" i="4"/>
  <c r="O61" i="4"/>
  <c r="AV92" i="4"/>
  <c r="DH92" i="4" s="1"/>
  <c r="DH91" i="4" s="1"/>
  <c r="DH90" i="4" s="1"/>
  <c r="DH89" i="4" s="1"/>
  <c r="DH88" i="4" s="1"/>
  <c r="DH87" i="4" s="1"/>
  <c r="DH86" i="4" s="1"/>
  <c r="DH85" i="4" s="1"/>
  <c r="DH84" i="4" s="1"/>
  <c r="DH83" i="4" s="1"/>
  <c r="DH82" i="4" s="1"/>
  <c r="DH81" i="4" s="1"/>
  <c r="DH80" i="4" s="1"/>
  <c r="DH79" i="4" s="1"/>
  <c r="DH78" i="4" s="1"/>
  <c r="DH77" i="4" s="1"/>
  <c r="DH76" i="4" s="1"/>
  <c r="DH75" i="4" s="1"/>
  <c r="DH74" i="4" s="1"/>
  <c r="DH73" i="4" s="1"/>
  <c r="DH72" i="4" s="1"/>
  <c r="DH71" i="4" s="1"/>
  <c r="DH70" i="4" s="1"/>
  <c r="DH69" i="4" s="1"/>
  <c r="DH68" i="4" s="1"/>
  <c r="DH67" i="4" s="1"/>
  <c r="DH66" i="4" s="1"/>
  <c r="DH65" i="4" s="1"/>
  <c r="AP86" i="4"/>
  <c r="I55" i="4"/>
  <c r="AO85" i="4"/>
  <c r="H54" i="4"/>
  <c r="DH64" i="4" l="1"/>
  <c r="P64" i="4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AR89" i="4"/>
  <c r="K58" i="4"/>
  <c r="AS90" i="4"/>
  <c r="L59" i="4"/>
  <c r="M60" i="4"/>
  <c r="AT91" i="4"/>
  <c r="H55" i="4"/>
  <c r="AO86" i="4"/>
  <c r="I56" i="4"/>
  <c r="AP87" i="4"/>
  <c r="N62" i="4"/>
  <c r="AU93" i="4"/>
  <c r="J57" i="4"/>
  <c r="AQ88" i="4"/>
  <c r="AN85" i="4"/>
  <c r="G54" i="4"/>
  <c r="AM85" i="4" s="1"/>
  <c r="AU92" i="4"/>
  <c r="DG92" i="4" s="1"/>
  <c r="DG91" i="4" s="1"/>
  <c r="DG90" i="4" s="1"/>
  <c r="DG89" i="4" s="1"/>
  <c r="DG88" i="4" s="1"/>
  <c r="DG87" i="4" s="1"/>
  <c r="DG86" i="4" s="1"/>
  <c r="DG85" i="4" s="1"/>
  <c r="DG84" i="4" s="1"/>
  <c r="DG83" i="4" s="1"/>
  <c r="DG82" i="4" s="1"/>
  <c r="DG81" i="4" s="1"/>
  <c r="DG80" i="4" s="1"/>
  <c r="DG79" i="4" s="1"/>
  <c r="DG78" i="4" s="1"/>
  <c r="DG77" i="4" s="1"/>
  <c r="DG76" i="4" s="1"/>
  <c r="DG75" i="4" s="1"/>
  <c r="DG74" i="4" s="1"/>
  <c r="DG73" i="4" s="1"/>
  <c r="DG72" i="4" s="1"/>
  <c r="DG71" i="4" s="1"/>
  <c r="DG70" i="4" s="1"/>
  <c r="DG69" i="4" s="1"/>
  <c r="DG68" i="4" s="1"/>
  <c r="DG67" i="4" s="1"/>
  <c r="DG66" i="4" s="1"/>
  <c r="DG65" i="4" s="1"/>
  <c r="N61" i="4"/>
  <c r="AT92" i="4" l="1"/>
  <c r="DF92" i="4" s="1"/>
  <c r="DF91" i="4" s="1"/>
  <c r="DF90" i="4" s="1"/>
  <c r="DF89" i="4" s="1"/>
  <c r="DF88" i="4" s="1"/>
  <c r="DF87" i="4" s="1"/>
  <c r="DF86" i="4" s="1"/>
  <c r="DF85" i="4" s="1"/>
  <c r="DF84" i="4" s="1"/>
  <c r="DF83" i="4" s="1"/>
  <c r="DF82" i="4" s="1"/>
  <c r="DF81" i="4" s="1"/>
  <c r="DF80" i="4" s="1"/>
  <c r="DF79" i="4" s="1"/>
  <c r="DF78" i="4" s="1"/>
  <c r="DF77" i="4" s="1"/>
  <c r="DF76" i="4" s="1"/>
  <c r="DF75" i="4" s="1"/>
  <c r="DF74" i="4" s="1"/>
  <c r="DF73" i="4" s="1"/>
  <c r="DF72" i="4" s="1"/>
  <c r="DF71" i="4" s="1"/>
  <c r="DF70" i="4" s="1"/>
  <c r="DF69" i="4" s="1"/>
  <c r="DF68" i="4" s="1"/>
  <c r="DF67" i="4" s="1"/>
  <c r="DF66" i="4" s="1"/>
  <c r="DF65" i="4" s="1"/>
  <c r="M61" i="4"/>
  <c r="AQ89" i="4"/>
  <c r="J58" i="4"/>
  <c r="O64" i="4"/>
  <c r="O65" i="4" s="1"/>
  <c r="O66" i="4" s="1"/>
  <c r="O67" i="4" s="1"/>
  <c r="O68" i="4" s="1"/>
  <c r="O69" i="4" s="1"/>
  <c r="O70" i="4" s="1"/>
  <c r="O71" i="4" s="1"/>
  <c r="O72" i="4" s="1"/>
  <c r="O73" i="4" s="1"/>
  <c r="O74" i="4" s="1"/>
  <c r="O75" i="4" s="1"/>
  <c r="O76" i="4" s="1"/>
  <c r="O77" i="4" s="1"/>
  <c r="O78" i="4" s="1"/>
  <c r="O79" i="4" s="1"/>
  <c r="O80" i="4" s="1"/>
  <c r="O81" i="4" s="1"/>
  <c r="O82" i="4" s="1"/>
  <c r="O83" i="4" s="1"/>
  <c r="O84" i="4" s="1"/>
  <c r="O85" i="4" s="1"/>
  <c r="O86" i="4" s="1"/>
  <c r="O87" i="4" s="1"/>
  <c r="O88" i="4" s="1"/>
  <c r="O89" i="4" s="1"/>
  <c r="O90" i="4" s="1"/>
  <c r="O91" i="4" s="1"/>
  <c r="O92" i="4" s="1"/>
  <c r="O93" i="4" s="1"/>
  <c r="DG64" i="4"/>
  <c r="I57" i="4"/>
  <c r="AP88" i="4"/>
  <c r="H56" i="4"/>
  <c r="AO87" i="4"/>
  <c r="AS91" i="4"/>
  <c r="L60" i="4"/>
  <c r="K59" i="4"/>
  <c r="AR90" i="4"/>
  <c r="M62" i="4"/>
  <c r="AT93" i="4"/>
  <c r="G55" i="4"/>
  <c r="AM86" i="4" s="1"/>
  <c r="AN86" i="4"/>
  <c r="AQ90" i="4" l="1"/>
  <c r="J59" i="4"/>
  <c r="AN87" i="4"/>
  <c r="G56" i="4"/>
  <c r="AM87" i="4" s="1"/>
  <c r="K60" i="4"/>
  <c r="AR91" i="4"/>
  <c r="I58" i="4"/>
  <c r="AP89" i="4"/>
  <c r="L62" i="4"/>
  <c r="AS93" i="4"/>
  <c r="AO88" i="4"/>
  <c r="H57" i="4"/>
  <c r="AS92" i="4"/>
  <c r="DE92" i="4" s="1"/>
  <c r="DE91" i="4" s="1"/>
  <c r="DE90" i="4" s="1"/>
  <c r="DE89" i="4" s="1"/>
  <c r="DE88" i="4" s="1"/>
  <c r="DE87" i="4" s="1"/>
  <c r="DE86" i="4" s="1"/>
  <c r="DE85" i="4" s="1"/>
  <c r="DE84" i="4" s="1"/>
  <c r="DE83" i="4" s="1"/>
  <c r="DE82" i="4" s="1"/>
  <c r="DE81" i="4" s="1"/>
  <c r="DE80" i="4" s="1"/>
  <c r="DE79" i="4" s="1"/>
  <c r="DE78" i="4" s="1"/>
  <c r="DE77" i="4" s="1"/>
  <c r="DE76" i="4" s="1"/>
  <c r="DE75" i="4" s="1"/>
  <c r="DE74" i="4" s="1"/>
  <c r="DE73" i="4" s="1"/>
  <c r="DE72" i="4" s="1"/>
  <c r="DE71" i="4" s="1"/>
  <c r="DE70" i="4" s="1"/>
  <c r="DE69" i="4" s="1"/>
  <c r="DE68" i="4" s="1"/>
  <c r="DE67" i="4" s="1"/>
  <c r="DE66" i="4" s="1"/>
  <c r="DE65" i="4" s="1"/>
  <c r="L61" i="4"/>
  <c r="N64" i="4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DF64" i="4"/>
  <c r="H58" i="4" l="1"/>
  <c r="AO89" i="4"/>
  <c r="G57" i="4"/>
  <c r="AM88" i="4" s="1"/>
  <c r="AN88" i="4"/>
  <c r="AR92" i="4"/>
  <c r="DD92" i="4" s="1"/>
  <c r="DD91" i="4" s="1"/>
  <c r="DD90" i="4" s="1"/>
  <c r="DD89" i="4" s="1"/>
  <c r="DD88" i="4" s="1"/>
  <c r="DD87" i="4" s="1"/>
  <c r="DD86" i="4" s="1"/>
  <c r="DD85" i="4" s="1"/>
  <c r="DD84" i="4" s="1"/>
  <c r="DD83" i="4" s="1"/>
  <c r="DD82" i="4" s="1"/>
  <c r="DD81" i="4" s="1"/>
  <c r="DD80" i="4" s="1"/>
  <c r="DD79" i="4" s="1"/>
  <c r="DD78" i="4" s="1"/>
  <c r="DD77" i="4" s="1"/>
  <c r="DD76" i="4" s="1"/>
  <c r="DD75" i="4" s="1"/>
  <c r="DD74" i="4" s="1"/>
  <c r="DD73" i="4" s="1"/>
  <c r="DD72" i="4" s="1"/>
  <c r="DD71" i="4" s="1"/>
  <c r="DD70" i="4" s="1"/>
  <c r="DD69" i="4" s="1"/>
  <c r="DD68" i="4" s="1"/>
  <c r="DD67" i="4" s="1"/>
  <c r="DD66" i="4" s="1"/>
  <c r="DD65" i="4" s="1"/>
  <c r="K61" i="4"/>
  <c r="AP90" i="4"/>
  <c r="I59" i="4"/>
  <c r="M64" i="4"/>
  <c r="M65" i="4" s="1"/>
  <c r="M66" i="4" s="1"/>
  <c r="M67" i="4" s="1"/>
  <c r="M68" i="4" s="1"/>
  <c r="M69" i="4" s="1"/>
  <c r="M70" i="4" s="1"/>
  <c r="M71" i="4" s="1"/>
  <c r="M72" i="4" s="1"/>
  <c r="M73" i="4" s="1"/>
  <c r="M74" i="4" s="1"/>
  <c r="M75" i="4" s="1"/>
  <c r="M76" i="4" s="1"/>
  <c r="M77" i="4" s="1"/>
  <c r="M78" i="4" s="1"/>
  <c r="M79" i="4" s="1"/>
  <c r="M80" i="4" s="1"/>
  <c r="M81" i="4" s="1"/>
  <c r="M82" i="4" s="1"/>
  <c r="M83" i="4" s="1"/>
  <c r="M84" i="4" s="1"/>
  <c r="M85" i="4" s="1"/>
  <c r="M86" i="4" s="1"/>
  <c r="M87" i="4" s="1"/>
  <c r="M88" i="4" s="1"/>
  <c r="M89" i="4" s="1"/>
  <c r="M90" i="4" s="1"/>
  <c r="M91" i="4" s="1"/>
  <c r="M92" i="4" s="1"/>
  <c r="M93" i="4" s="1"/>
  <c r="DE64" i="4"/>
  <c r="K62" i="4"/>
  <c r="AR93" i="4"/>
  <c r="J60" i="4"/>
  <c r="AQ91" i="4"/>
  <c r="AP91" i="4" l="1"/>
  <c r="I60" i="4"/>
  <c r="AO90" i="4"/>
  <c r="H59" i="4"/>
  <c r="J62" i="4"/>
  <c r="AQ93" i="4"/>
  <c r="J61" i="4"/>
  <c r="AQ92" i="4"/>
  <c r="DC92" i="4" s="1"/>
  <c r="DC91" i="4" s="1"/>
  <c r="DC90" i="4" s="1"/>
  <c r="DC89" i="4" s="1"/>
  <c r="DC88" i="4" s="1"/>
  <c r="DC87" i="4" s="1"/>
  <c r="DC86" i="4" s="1"/>
  <c r="DC85" i="4" s="1"/>
  <c r="DC84" i="4" s="1"/>
  <c r="DC83" i="4" s="1"/>
  <c r="DC82" i="4" s="1"/>
  <c r="DC81" i="4" s="1"/>
  <c r="DC80" i="4" s="1"/>
  <c r="DC79" i="4" s="1"/>
  <c r="DC78" i="4" s="1"/>
  <c r="DC77" i="4" s="1"/>
  <c r="DC76" i="4" s="1"/>
  <c r="DC75" i="4" s="1"/>
  <c r="DC74" i="4" s="1"/>
  <c r="DC73" i="4" s="1"/>
  <c r="DC72" i="4" s="1"/>
  <c r="DC71" i="4" s="1"/>
  <c r="DC70" i="4" s="1"/>
  <c r="DC69" i="4" s="1"/>
  <c r="DC68" i="4" s="1"/>
  <c r="DC67" i="4" s="1"/>
  <c r="DC66" i="4" s="1"/>
  <c r="DC65" i="4" s="1"/>
  <c r="L64" i="4"/>
  <c r="L65" i="4" s="1"/>
  <c r="L66" i="4" s="1"/>
  <c r="L67" i="4" s="1"/>
  <c r="L68" i="4" s="1"/>
  <c r="L69" i="4" s="1"/>
  <c r="L70" i="4" s="1"/>
  <c r="L71" i="4" s="1"/>
  <c r="L72" i="4" s="1"/>
  <c r="L73" i="4" s="1"/>
  <c r="L74" i="4" s="1"/>
  <c r="L75" i="4" s="1"/>
  <c r="L76" i="4" s="1"/>
  <c r="L77" i="4" s="1"/>
  <c r="L78" i="4" s="1"/>
  <c r="L79" i="4" s="1"/>
  <c r="L80" i="4" s="1"/>
  <c r="L81" i="4" s="1"/>
  <c r="L82" i="4" s="1"/>
  <c r="L83" i="4" s="1"/>
  <c r="L84" i="4" s="1"/>
  <c r="L85" i="4" s="1"/>
  <c r="L86" i="4" s="1"/>
  <c r="L87" i="4" s="1"/>
  <c r="L88" i="4" s="1"/>
  <c r="L89" i="4" s="1"/>
  <c r="L90" i="4" s="1"/>
  <c r="L91" i="4" s="1"/>
  <c r="L92" i="4" s="1"/>
  <c r="L93" i="4" s="1"/>
  <c r="DD64" i="4"/>
  <c r="G58" i="4"/>
  <c r="AM89" i="4" s="1"/>
  <c r="AN89" i="4"/>
  <c r="AP92" i="4" l="1"/>
  <c r="DB92" i="4" s="1"/>
  <c r="DB91" i="4" s="1"/>
  <c r="DB90" i="4" s="1"/>
  <c r="DB89" i="4" s="1"/>
  <c r="DB88" i="4" s="1"/>
  <c r="DB87" i="4" s="1"/>
  <c r="DB86" i="4" s="1"/>
  <c r="DB85" i="4" s="1"/>
  <c r="DB84" i="4" s="1"/>
  <c r="DB83" i="4" s="1"/>
  <c r="DB82" i="4" s="1"/>
  <c r="DB81" i="4" s="1"/>
  <c r="DB80" i="4" s="1"/>
  <c r="DB79" i="4" s="1"/>
  <c r="DB78" i="4" s="1"/>
  <c r="DB77" i="4" s="1"/>
  <c r="DB76" i="4" s="1"/>
  <c r="DB75" i="4" s="1"/>
  <c r="DB74" i="4" s="1"/>
  <c r="DB73" i="4" s="1"/>
  <c r="DB72" i="4" s="1"/>
  <c r="DB71" i="4" s="1"/>
  <c r="DB70" i="4" s="1"/>
  <c r="DB69" i="4" s="1"/>
  <c r="DB68" i="4" s="1"/>
  <c r="DB67" i="4" s="1"/>
  <c r="DB66" i="4" s="1"/>
  <c r="DB65" i="4" s="1"/>
  <c r="I61" i="4"/>
  <c r="DC64" i="4"/>
  <c r="K64" i="4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AN90" i="4"/>
  <c r="G59" i="4"/>
  <c r="AM90" i="4" s="1"/>
  <c r="H60" i="4"/>
  <c r="AO91" i="4"/>
  <c r="I62" i="4"/>
  <c r="AP93" i="4"/>
  <c r="H62" i="4" l="1"/>
  <c r="AO93" i="4"/>
  <c r="AN91" i="4"/>
  <c r="G60" i="4"/>
  <c r="AM91" i="4" s="1"/>
  <c r="AO92" i="4"/>
  <c r="DA92" i="4" s="1"/>
  <c r="DA91" i="4" s="1"/>
  <c r="DA90" i="4" s="1"/>
  <c r="DA89" i="4" s="1"/>
  <c r="DA88" i="4" s="1"/>
  <c r="DA87" i="4" s="1"/>
  <c r="DA86" i="4" s="1"/>
  <c r="DA85" i="4" s="1"/>
  <c r="DA84" i="4" s="1"/>
  <c r="DA83" i="4" s="1"/>
  <c r="DA82" i="4" s="1"/>
  <c r="DA81" i="4" s="1"/>
  <c r="DA80" i="4" s="1"/>
  <c r="DA79" i="4" s="1"/>
  <c r="DA78" i="4" s="1"/>
  <c r="DA77" i="4" s="1"/>
  <c r="DA76" i="4" s="1"/>
  <c r="DA75" i="4" s="1"/>
  <c r="DA74" i="4" s="1"/>
  <c r="DA73" i="4" s="1"/>
  <c r="DA72" i="4" s="1"/>
  <c r="DA71" i="4" s="1"/>
  <c r="DA70" i="4" s="1"/>
  <c r="DA69" i="4" s="1"/>
  <c r="DA68" i="4" s="1"/>
  <c r="DA67" i="4" s="1"/>
  <c r="DA66" i="4" s="1"/>
  <c r="DA65" i="4" s="1"/>
  <c r="H61" i="4"/>
  <c r="J64" i="4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DB64" i="4"/>
  <c r="G62" i="4" l="1"/>
  <c r="AM93" i="4" s="1"/>
  <c r="AN93" i="4"/>
  <c r="G61" i="4"/>
  <c r="AM92" i="4" s="1"/>
  <c r="CY92" i="4" s="1"/>
  <c r="CY91" i="4" s="1"/>
  <c r="CY90" i="4" s="1"/>
  <c r="CY89" i="4" s="1"/>
  <c r="CY88" i="4" s="1"/>
  <c r="CY87" i="4" s="1"/>
  <c r="CY86" i="4" s="1"/>
  <c r="CY85" i="4" s="1"/>
  <c r="CY84" i="4" s="1"/>
  <c r="CY83" i="4" s="1"/>
  <c r="CY82" i="4" s="1"/>
  <c r="CY81" i="4" s="1"/>
  <c r="CY80" i="4" s="1"/>
  <c r="CY79" i="4" s="1"/>
  <c r="CY78" i="4" s="1"/>
  <c r="CY77" i="4" s="1"/>
  <c r="CY76" i="4" s="1"/>
  <c r="CY75" i="4" s="1"/>
  <c r="CY74" i="4" s="1"/>
  <c r="CY73" i="4" s="1"/>
  <c r="CY72" i="4" s="1"/>
  <c r="CY71" i="4" s="1"/>
  <c r="CY70" i="4" s="1"/>
  <c r="CY69" i="4" s="1"/>
  <c r="CY68" i="4" s="1"/>
  <c r="CY67" i="4" s="1"/>
  <c r="CY66" i="4" s="1"/>
  <c r="CY65" i="4" s="1"/>
  <c r="AN92" i="4"/>
  <c r="CZ92" i="4" s="1"/>
  <c r="CZ91" i="4" s="1"/>
  <c r="CZ90" i="4" s="1"/>
  <c r="CZ89" i="4" s="1"/>
  <c r="CZ88" i="4" s="1"/>
  <c r="CZ87" i="4" s="1"/>
  <c r="CZ86" i="4" s="1"/>
  <c r="CZ85" i="4" s="1"/>
  <c r="CZ84" i="4" s="1"/>
  <c r="CZ83" i="4" s="1"/>
  <c r="CZ82" i="4" s="1"/>
  <c r="CZ81" i="4" s="1"/>
  <c r="CZ80" i="4" s="1"/>
  <c r="CZ79" i="4" s="1"/>
  <c r="CZ78" i="4" s="1"/>
  <c r="CZ77" i="4" s="1"/>
  <c r="CZ76" i="4" s="1"/>
  <c r="CZ75" i="4" s="1"/>
  <c r="CZ74" i="4" s="1"/>
  <c r="CZ73" i="4" s="1"/>
  <c r="CZ72" i="4" s="1"/>
  <c r="CZ71" i="4" s="1"/>
  <c r="CZ70" i="4" s="1"/>
  <c r="CZ69" i="4" s="1"/>
  <c r="CZ68" i="4" s="1"/>
  <c r="CZ67" i="4" s="1"/>
  <c r="CZ66" i="4" s="1"/>
  <c r="CZ65" i="4" s="1"/>
  <c r="I64" i="4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DA64" i="4"/>
  <c r="G64" i="4" l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CY64" i="4"/>
  <c r="H64" i="4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CZ64" i="4"/>
</calcChain>
</file>

<file path=xl/sharedStrings.xml><?xml version="1.0" encoding="utf-8"?>
<sst xmlns="http://schemas.openxmlformats.org/spreadsheetml/2006/main" count="25" uniqueCount="19">
  <si>
    <t>L</t>
  </si>
  <si>
    <t>dx</t>
  </si>
  <si>
    <t>dt</t>
  </si>
  <si>
    <t>t</t>
  </si>
  <si>
    <t>Cp</t>
  </si>
  <si>
    <t>lamda</t>
  </si>
  <si>
    <t>T_start</t>
  </si>
  <si>
    <t>T_end</t>
  </si>
  <si>
    <t>A</t>
  </si>
  <si>
    <t>B</t>
  </si>
  <si>
    <t>C</t>
  </si>
  <si>
    <t>M</t>
  </si>
  <si>
    <t>dy</t>
  </si>
  <si>
    <t>ro</t>
  </si>
  <si>
    <t>Fi</t>
  </si>
  <si>
    <t>n,+0,5</t>
  </si>
  <si>
    <t>Ai</t>
  </si>
  <si>
    <t>Bi</t>
  </si>
  <si>
    <t>n+1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</si>
</sst>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0"/>
    <numFmt numFmtId="165" formatCode="0.000"/>
    <numFmt numFmtId="166" formatCode="0E+00"/>
    <numFmt numFmtId="167" formatCode="0.0"/>
    <numFmt numFmtId="168" formatCode="0.00000E+00"/>
  </numFmts>
  <fonts count="3" x14ac:knownFonts="1">
    <font>
      <sz val="11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sz val="24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Border="1"/>
    <xf numFmtId="164" fontId="0" fillId="0" borderId="1" xfId="0" applyNumberFormat="1" applyBorder="1"/>
    <xf numFmtId="2" fontId="0" fillId="0" borderId="1" xfId="0" applyNumberFormat="1" applyBorder="1"/>
    <xf numFmtId="167" fontId="0" fillId="0" borderId="1" xfId="0" applyNumberFormat="1" applyBorder="1"/>
    <xf numFmtId="165" fontId="0" fillId="0" borderId="1" xfId="0" applyNumberFormat="1" applyBorder="1" applyAlignment="1">
      <alignment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168" fontId="0" fillId="0" borderId="1" xfId="0" applyNumberFormat="1" applyBorder="1"/>
    <xf numFmtId="2" fontId="0" fillId="0" borderId="2" xfId="0" applyNumberFormat="1" applyBorder="1"/>
    <xf numFmtId="0" fontId="0" fillId="0" borderId="5" xfId="0" applyBorder="1"/>
    <xf numFmtId="166" fontId="0" fillId="0" borderId="1" xfId="0" applyNumberFormat="1" applyBorder="1"/>
    <xf numFmtId="0" fontId="0" fillId="0" borderId="1" xfId="0" applyNumberFormat="1" applyBorder="1"/>
    <xf numFmtId="166" fontId="0" fillId="0" borderId="2" xfId="0" applyNumberFormat="1" applyBorder="1"/>
    <xf numFmtId="166" fontId="0" fillId="0" borderId="5" xfId="0" applyNumberFormat="1" applyBorder="1"/>
    <xf numFmtId="0" fontId="2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6278282216092"/>
          <c:y val="6.2497611270255549E-2"/>
          <c:w val="0.83461788743972232"/>
          <c:h val="0.83357042819402183"/>
        </c:manualLayout>
      </c:layout>
      <c:scatterChart>
        <c:scatterStyle val="smoothMarker"/>
        <c:varyColors val="0"/>
        <c:ser>
          <c:idx val="0"/>
          <c:order val="0"/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'Неявный вид 2D'!$F$32:$AI$32</c:f>
              <c:numCache>
                <c:formatCode>0.00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'Неявный вид 2D'!$F$16:$AI$16</c:f>
              <c:numCache>
                <c:formatCode>General</c:formatCode>
                <c:ptCount val="30"/>
                <c:pt idx="0">
                  <c:v>300</c:v>
                </c:pt>
                <c:pt idx="1">
                  <c:v>279.402096428709</c:v>
                </c:pt>
                <c:pt idx="2">
                  <c:v>258.99391849316783</c:v>
                </c:pt>
                <c:pt idx="3">
                  <c:v>238.96136498496432</c:v>
                </c:pt>
                <c:pt idx="4">
                  <c:v>219.48282666218029</c:v>
                </c:pt>
                <c:pt idx="5">
                  <c:v>200.7257871478281</c:v>
                </c:pt>
                <c:pt idx="6">
                  <c:v>182.84382467633625</c:v>
                </c:pt>
                <c:pt idx="7">
                  <c:v>165.97410879073618</c:v>
                </c:pt>
                <c:pt idx="8">
                  <c:v>150.23545646722397</c:v>
                </c:pt>
                <c:pt idx="9">
                  <c:v>135.72697992113336</c:v>
                </c:pt>
                <c:pt idx="10">
                  <c:v>122.52732603003525</c:v>
                </c:pt>
                <c:pt idx="11">
                  <c:v>110.69447729437978</c:v>
                </c:pt>
                <c:pt idx="12">
                  <c:v>100.26605862700322</c:v>
                </c:pt>
                <c:pt idx="13">
                  <c:v>91.26007461408021</c:v>
                </c:pt>
                <c:pt idx="14">
                  <c:v>83.675989208907851</c:v>
                </c:pt>
                <c:pt idx="15">
                  <c:v>77.496054433631627</c:v>
                </c:pt>
                <c:pt idx="16">
                  <c:v>72.686796254163113</c:v>
                </c:pt>
                <c:pt idx="17">
                  <c:v>69.200573471375151</c:v>
                </c:pt>
                <c:pt idx="18">
                  <c:v>66.977137904190684</c:v>
                </c:pt>
                <c:pt idx="19">
                  <c:v>65.945139710683407</c:v>
                </c:pt>
                <c:pt idx="20">
                  <c:v>66.023538678194996</c:v>
                </c:pt>
                <c:pt idx="21">
                  <c:v>67.122899056791539</c:v>
                </c:pt>
                <c:pt idx="22">
                  <c:v>69.146560578739155</c:v>
                </c:pt>
                <c:pt idx="23">
                  <c:v>71.991690610405172</c:v>
                </c:pt>
                <c:pt idx="24">
                  <c:v>75.550231253608246</c:v>
                </c:pt>
                <c:pt idx="25">
                  <c:v>79.709760432328395</c:v>
                </c:pt>
                <c:pt idx="26">
                  <c:v>84.354287778955751</c:v>
                </c:pt>
                <c:pt idx="27">
                  <c:v>89.365005048527379</c:v>
                </c:pt>
                <c:pt idx="28">
                  <c:v>94.621007682353053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70-4947-87DA-57528F8318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005488"/>
        <c:axId val="475000896"/>
      </c:scatterChart>
      <c:valAx>
        <c:axId val="475005488"/>
        <c:scaling>
          <c:orientation val="minMax"/>
          <c:max val="0.14000000000000001"/>
          <c:min val="0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5000896"/>
        <c:crosses val="autoZero"/>
        <c:crossBetween val="midCat"/>
        <c:majorUnit val="2.0000000000000004E-2"/>
      </c:valAx>
      <c:valAx>
        <c:axId val="475000896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5005488"/>
        <c:crossesAt val="0.12000000000000001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333374</xdr:colOff>
      <xdr:row>6</xdr:row>
      <xdr:rowOff>140493</xdr:rowOff>
    </xdr:from>
    <xdr:to>
      <xdr:col>46</xdr:col>
      <xdr:colOff>59531</xdr:colOff>
      <xdr:row>29</xdr:row>
      <xdr:rowOff>23812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37</xdr:col>
      <xdr:colOff>364331</xdr:colOff>
      <xdr:row>6</xdr:row>
      <xdr:rowOff>161925</xdr:rowOff>
    </xdr:from>
    <xdr:ext cx="540597" cy="3756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23950612" y="1304925"/>
              <a:ext cx="540597" cy="37568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400" b="0" i="1">
                      <a:latin typeface="Cambria Math" panose="02040503050406030204" pitchFamily="18" charset="0"/>
                    </a:rPr>
                    <m:t>𝑇</m:t>
                  </m:r>
                </m:oMath>
              </a14:m>
              <a:r>
                <a:rPr lang="en-US" sz="2400"/>
                <a:t>(C)</a:t>
              </a:r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23950612" y="1304925"/>
              <a:ext cx="540597" cy="37568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2400" b="0" i="0">
                  <a:latin typeface="Cambria Math" panose="02040503050406030204" pitchFamily="18" charset="0"/>
                </a:rPr>
                <a:t>𝑇</a:t>
              </a:r>
              <a:r>
                <a:rPr lang="en-US" sz="2400"/>
                <a:t>(C)</a:t>
              </a:r>
            </a:p>
          </xdr:txBody>
        </xdr:sp>
      </mc:Fallback>
    </mc:AlternateContent>
    <xdr:clientData/>
  </xdr:oneCellAnchor>
  <xdr:oneCellAnchor>
    <xdr:from>
      <xdr:col>44</xdr:col>
      <xdr:colOff>559593</xdr:colOff>
      <xdr:row>26</xdr:row>
      <xdr:rowOff>138111</xdr:rowOff>
    </xdr:from>
    <xdr:ext cx="821531" cy="3756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28634531" y="5091111"/>
              <a:ext cx="821531" cy="37568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24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24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en-US" sz="24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240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28634531" y="5091111"/>
              <a:ext cx="821531" cy="37568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400" b="0" i="0">
                  <a:latin typeface="Cambria Math" panose="02040503050406030204" pitchFamily="18" charset="0"/>
                </a:rPr>
                <a:t>𝐿(𝑚)</a:t>
              </a:r>
              <a:endParaRPr lang="ru-RU" sz="24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A94"/>
  <sheetViews>
    <sheetView tabSelected="1" topLeftCell="AF16" zoomScale="80" zoomScaleNormal="80" workbookViewId="0">
      <selection activeCell="BB15" sqref="BB15"/>
    </sheetView>
  </sheetViews>
  <sheetFormatPr defaultRowHeight="15" x14ac:dyDescent="0.25"/>
  <cols>
    <col min="1" max="1" width="14.140625" customWidth="1"/>
    <col min="3" max="3" width="20.28515625" bestFit="1" customWidth="1"/>
    <col min="5" max="5" width="9.5703125" bestFit="1" customWidth="1"/>
    <col min="38" max="38" width="12.7109375" bestFit="1" customWidth="1"/>
    <col min="71" max="71" width="12.140625" bestFit="1" customWidth="1"/>
    <col min="103" max="103" width="9.140625" customWidth="1"/>
  </cols>
  <sheetData>
    <row r="1" spans="1:36" x14ac:dyDescent="0.25">
      <c r="E1" s="1"/>
      <c r="F1" s="1">
        <v>1</v>
      </c>
      <c r="G1" s="1">
        <f>1+F1</f>
        <v>2</v>
      </c>
      <c r="H1" s="1">
        <f t="shared" ref="H1:AI1" si="0">1+G1</f>
        <v>3</v>
      </c>
      <c r="I1" s="1">
        <f t="shared" si="0"/>
        <v>4</v>
      </c>
      <c r="J1" s="1">
        <f t="shared" si="0"/>
        <v>5</v>
      </c>
      <c r="K1" s="1">
        <f t="shared" si="0"/>
        <v>6</v>
      </c>
      <c r="L1" s="1">
        <f t="shared" si="0"/>
        <v>7</v>
      </c>
      <c r="M1" s="1">
        <f t="shared" si="0"/>
        <v>8</v>
      </c>
      <c r="N1" s="1">
        <f t="shared" si="0"/>
        <v>9</v>
      </c>
      <c r="O1" s="1">
        <f t="shared" si="0"/>
        <v>10</v>
      </c>
      <c r="P1" s="1">
        <f t="shared" si="0"/>
        <v>11</v>
      </c>
      <c r="Q1" s="1">
        <f t="shared" si="0"/>
        <v>12</v>
      </c>
      <c r="R1" s="1">
        <f t="shared" si="0"/>
        <v>13</v>
      </c>
      <c r="S1" s="1">
        <f t="shared" si="0"/>
        <v>14</v>
      </c>
      <c r="T1" s="1">
        <f t="shared" si="0"/>
        <v>15</v>
      </c>
      <c r="U1" s="1">
        <f t="shared" si="0"/>
        <v>16</v>
      </c>
      <c r="V1" s="1">
        <f t="shared" si="0"/>
        <v>17</v>
      </c>
      <c r="W1" s="1">
        <f t="shared" si="0"/>
        <v>18</v>
      </c>
      <c r="X1" s="1">
        <f t="shared" si="0"/>
        <v>19</v>
      </c>
      <c r="Y1" s="1">
        <f t="shared" si="0"/>
        <v>20</v>
      </c>
      <c r="Z1" s="1">
        <f t="shared" si="0"/>
        <v>21</v>
      </c>
      <c r="AA1" s="1">
        <f t="shared" si="0"/>
        <v>22</v>
      </c>
      <c r="AB1" s="1">
        <f t="shared" si="0"/>
        <v>23</v>
      </c>
      <c r="AC1" s="1">
        <f t="shared" si="0"/>
        <v>24</v>
      </c>
      <c r="AD1" s="1">
        <f t="shared" si="0"/>
        <v>25</v>
      </c>
      <c r="AE1" s="1">
        <f t="shared" si="0"/>
        <v>26</v>
      </c>
      <c r="AF1" s="1">
        <f t="shared" si="0"/>
        <v>27</v>
      </c>
      <c r="AG1" s="1">
        <f t="shared" si="0"/>
        <v>28</v>
      </c>
      <c r="AH1" s="1">
        <f t="shared" si="0"/>
        <v>29</v>
      </c>
      <c r="AI1" s="1">
        <f t="shared" si="0"/>
        <v>30</v>
      </c>
      <c r="AJ1" s="1"/>
    </row>
    <row r="2" spans="1:36" x14ac:dyDescent="0.25">
      <c r="A2" s="8"/>
      <c r="B2" s="2" t="s">
        <v>0</v>
      </c>
      <c r="C2" s="1">
        <v>0.1</v>
      </c>
      <c r="E2" s="5">
        <f t="shared" ref="E2:E29" si="1">E3+$C$4</f>
        <v>0.10000000000000007</v>
      </c>
      <c r="F2" s="1">
        <f>$C$13</f>
        <v>300</v>
      </c>
      <c r="G2" s="1">
        <v>279.40209642870843</v>
      </c>
      <c r="H2" s="1">
        <v>258.99391849316754</v>
      </c>
      <c r="I2" s="1">
        <v>238.96136498496404</v>
      </c>
      <c r="J2" s="1">
        <v>219.48282666217995</v>
      </c>
      <c r="K2" s="1">
        <v>200.72578714782776</v>
      </c>
      <c r="L2" s="1">
        <v>182.84382467633597</v>
      </c>
      <c r="M2" s="1">
        <v>165.97410879073584</v>
      </c>
      <c r="N2" s="1">
        <v>150.23545646722368</v>
      </c>
      <c r="O2" s="1">
        <v>135.72697992113314</v>
      </c>
      <c r="P2" s="1">
        <v>122.52732603003504</v>
      </c>
      <c r="Q2" s="1">
        <v>110.69447729437957</v>
      </c>
      <c r="R2" s="1">
        <v>100.26605862700302</v>
      </c>
      <c r="S2" s="1">
        <v>91.26007461408004</v>
      </c>
      <c r="T2" s="1">
        <v>83.675989208907708</v>
      </c>
      <c r="U2" s="1">
        <v>77.496054433631485</v>
      </c>
      <c r="V2" s="1">
        <v>72.686796254162985</v>
      </c>
      <c r="W2" s="1">
        <v>69.200573471375037</v>
      </c>
      <c r="X2" s="1">
        <v>66.97713790419057</v>
      </c>
      <c r="Y2" s="1">
        <v>65.945139710683307</v>
      </c>
      <c r="Z2" s="1">
        <v>66.023538678194882</v>
      </c>
      <c r="AA2" s="1">
        <v>67.122899056791439</v>
      </c>
      <c r="AB2" s="1">
        <v>69.146560578739056</v>
      </c>
      <c r="AC2" s="1">
        <v>71.991690610405072</v>
      </c>
      <c r="AD2" s="1">
        <v>75.550231253608175</v>
      </c>
      <c r="AE2" s="1">
        <v>79.709760432328309</v>
      </c>
      <c r="AF2" s="1">
        <v>84.354287778955694</v>
      </c>
      <c r="AG2" s="1">
        <v>89.365005048527323</v>
      </c>
      <c r="AH2" s="1">
        <v>94.621007682353039</v>
      </c>
      <c r="AI2" s="1">
        <f>$C$14</f>
        <v>100</v>
      </c>
      <c r="AJ2" s="1">
        <v>30</v>
      </c>
    </row>
    <row r="3" spans="1:36" x14ac:dyDescent="0.25">
      <c r="A3" s="9"/>
      <c r="B3" s="2" t="s">
        <v>11</v>
      </c>
      <c r="C3" s="1">
        <v>0.1</v>
      </c>
      <c r="E3" s="5">
        <f t="shared" si="1"/>
        <v>9.6551724137931103E-2</v>
      </c>
      <c r="F3" s="1">
        <f t="shared" ref="F3:F26" si="2">$C$13</f>
        <v>300</v>
      </c>
      <c r="G3" s="1">
        <v>279.40209642870843</v>
      </c>
      <c r="H3" s="1">
        <v>258.99391849316754</v>
      </c>
      <c r="I3" s="1">
        <v>238.96136498496406</v>
      </c>
      <c r="J3" s="1">
        <v>219.48282666217995</v>
      </c>
      <c r="K3" s="1">
        <v>200.72578714782776</v>
      </c>
      <c r="L3" s="1">
        <v>182.84382467633594</v>
      </c>
      <c r="M3" s="1">
        <v>165.97410879073584</v>
      </c>
      <c r="N3" s="1">
        <v>150.23545646722368</v>
      </c>
      <c r="O3" s="1">
        <v>135.72697992113314</v>
      </c>
      <c r="P3" s="1">
        <v>122.52732603003504</v>
      </c>
      <c r="Q3" s="1">
        <v>110.69447729437957</v>
      </c>
      <c r="R3" s="1">
        <v>100.26605862700302</v>
      </c>
      <c r="S3" s="1">
        <v>91.26007461408004</v>
      </c>
      <c r="T3" s="1">
        <v>83.675989208907708</v>
      </c>
      <c r="U3" s="1">
        <v>77.496054433631485</v>
      </c>
      <c r="V3" s="1">
        <v>72.686796254162985</v>
      </c>
      <c r="W3" s="1">
        <v>69.200573471375037</v>
      </c>
      <c r="X3" s="1">
        <v>66.97713790419057</v>
      </c>
      <c r="Y3" s="1">
        <v>65.945139710683307</v>
      </c>
      <c r="Z3" s="1">
        <v>66.023538678194882</v>
      </c>
      <c r="AA3" s="1">
        <v>67.122899056791439</v>
      </c>
      <c r="AB3" s="1">
        <v>69.146560578739056</v>
      </c>
      <c r="AC3" s="1">
        <v>71.991690610405072</v>
      </c>
      <c r="AD3" s="1">
        <v>75.550231253608175</v>
      </c>
      <c r="AE3" s="1">
        <v>79.709760432328309</v>
      </c>
      <c r="AF3" s="1">
        <v>84.354287778955694</v>
      </c>
      <c r="AG3" s="1">
        <v>89.365005048527323</v>
      </c>
      <c r="AH3" s="1">
        <v>94.621007682353024</v>
      </c>
      <c r="AI3" s="1">
        <f t="shared" ref="AI3:AI31" si="3">$C$14</f>
        <v>100</v>
      </c>
      <c r="AJ3" s="1">
        <f t="shared" ref="AJ3:AJ29" si="4">AJ4+1</f>
        <v>29</v>
      </c>
    </row>
    <row r="4" spans="1:36" x14ac:dyDescent="0.25">
      <c r="A4" s="9"/>
      <c r="B4" s="2" t="s">
        <v>1</v>
      </c>
      <c r="C4" s="7">
        <f>C2/29</f>
        <v>3.4482758620689659E-3</v>
      </c>
      <c r="E4" s="5">
        <f t="shared" si="1"/>
        <v>9.310344827586213E-2</v>
      </c>
      <c r="F4" s="1">
        <f t="shared" si="2"/>
        <v>300</v>
      </c>
      <c r="G4" s="1">
        <v>279.40209642870843</v>
      </c>
      <c r="H4" s="1">
        <v>258.99391849316754</v>
      </c>
      <c r="I4" s="1">
        <v>238.96136498496406</v>
      </c>
      <c r="J4" s="1">
        <v>219.48282666217995</v>
      </c>
      <c r="K4" s="1">
        <v>200.72578714782776</v>
      </c>
      <c r="L4" s="1">
        <v>182.84382467633594</v>
      </c>
      <c r="M4" s="1">
        <v>165.97410879073584</v>
      </c>
      <c r="N4" s="1">
        <v>150.23545646722368</v>
      </c>
      <c r="O4" s="1">
        <v>135.72697992113314</v>
      </c>
      <c r="P4" s="1">
        <v>122.52732603003504</v>
      </c>
      <c r="Q4" s="1">
        <v>110.69447729437957</v>
      </c>
      <c r="R4" s="1">
        <v>100.26605862700302</v>
      </c>
      <c r="S4" s="1">
        <v>91.26007461408004</v>
      </c>
      <c r="T4" s="1">
        <v>83.675989208907708</v>
      </c>
      <c r="U4" s="1">
        <v>77.496054433631485</v>
      </c>
      <c r="V4" s="1">
        <v>72.686796254162985</v>
      </c>
      <c r="W4" s="1">
        <v>69.200573471375037</v>
      </c>
      <c r="X4" s="1">
        <v>66.97713790419057</v>
      </c>
      <c r="Y4" s="1">
        <v>65.945139710683307</v>
      </c>
      <c r="Z4" s="1">
        <v>66.023538678194882</v>
      </c>
      <c r="AA4" s="1">
        <v>67.122899056791439</v>
      </c>
      <c r="AB4" s="1">
        <v>69.146560578739056</v>
      </c>
      <c r="AC4" s="1">
        <v>71.991690610405072</v>
      </c>
      <c r="AD4" s="1">
        <v>75.550231253608175</v>
      </c>
      <c r="AE4" s="1">
        <v>79.709760432328309</v>
      </c>
      <c r="AF4" s="1">
        <v>84.354287778955694</v>
      </c>
      <c r="AG4" s="1">
        <v>89.365005048527323</v>
      </c>
      <c r="AH4" s="1">
        <v>94.621007682353024</v>
      </c>
      <c r="AI4" s="1">
        <f t="shared" si="3"/>
        <v>100</v>
      </c>
      <c r="AJ4" s="1">
        <f t="shared" si="4"/>
        <v>28</v>
      </c>
    </row>
    <row r="5" spans="1:36" x14ac:dyDescent="0.25">
      <c r="A5" s="9"/>
      <c r="B5" s="2" t="s">
        <v>12</v>
      </c>
      <c r="C5" s="4">
        <f>C2/29</f>
        <v>3.4482758620689659E-3</v>
      </c>
      <c r="E5" s="5">
        <f t="shared" si="1"/>
        <v>8.9655172413793158E-2</v>
      </c>
      <c r="F5" s="1">
        <f t="shared" si="2"/>
        <v>300</v>
      </c>
      <c r="G5" s="1">
        <v>279.40209642870843</v>
      </c>
      <c r="H5" s="1">
        <v>258.9939184931676</v>
      </c>
      <c r="I5" s="1">
        <v>238.96136498496406</v>
      </c>
      <c r="J5" s="1">
        <v>219.48282666217997</v>
      </c>
      <c r="K5" s="1">
        <v>200.72578714782776</v>
      </c>
      <c r="L5" s="1">
        <v>182.84382467633594</v>
      </c>
      <c r="M5" s="1">
        <v>165.97410879073584</v>
      </c>
      <c r="N5" s="1">
        <v>150.23545646722368</v>
      </c>
      <c r="O5" s="1">
        <v>135.72697992113314</v>
      </c>
      <c r="P5" s="1">
        <v>122.52732603003504</v>
      </c>
      <c r="Q5" s="1">
        <v>110.69447729437957</v>
      </c>
      <c r="R5" s="1">
        <v>100.26605862700302</v>
      </c>
      <c r="S5" s="1">
        <v>91.26007461408004</v>
      </c>
      <c r="T5" s="1">
        <v>83.675989208907708</v>
      </c>
      <c r="U5" s="1">
        <v>77.496054433631485</v>
      </c>
      <c r="V5" s="1">
        <v>72.686796254162985</v>
      </c>
      <c r="W5" s="1">
        <v>69.200573471375037</v>
      </c>
      <c r="X5" s="1">
        <v>66.97713790419057</v>
      </c>
      <c r="Y5" s="1">
        <v>65.945139710683307</v>
      </c>
      <c r="Z5" s="1">
        <v>66.023538678194882</v>
      </c>
      <c r="AA5" s="1">
        <v>67.122899056791439</v>
      </c>
      <c r="AB5" s="1">
        <v>69.146560578739056</v>
      </c>
      <c r="AC5" s="1">
        <v>71.991690610405072</v>
      </c>
      <c r="AD5" s="1">
        <v>75.550231253608175</v>
      </c>
      <c r="AE5" s="1">
        <v>79.709760432328309</v>
      </c>
      <c r="AF5" s="1">
        <v>84.354287778955694</v>
      </c>
      <c r="AG5" s="1">
        <v>89.365005048527323</v>
      </c>
      <c r="AH5" s="1">
        <v>94.621007682353024</v>
      </c>
      <c r="AI5" s="1">
        <f t="shared" si="3"/>
        <v>100</v>
      </c>
      <c r="AJ5" s="1">
        <f t="shared" si="4"/>
        <v>27</v>
      </c>
    </row>
    <row r="6" spans="1:36" x14ac:dyDescent="0.25">
      <c r="A6" s="9"/>
      <c r="B6" s="2" t="s">
        <v>3</v>
      </c>
      <c r="C6" s="1">
        <v>60</v>
      </c>
      <c r="D6">
        <v>61</v>
      </c>
      <c r="E6" s="5">
        <f t="shared" si="1"/>
        <v>8.6206896551724185E-2</v>
      </c>
      <c r="F6" s="1">
        <f t="shared" si="2"/>
        <v>300</v>
      </c>
      <c r="G6" s="1">
        <v>279.40209642870843</v>
      </c>
      <c r="H6" s="1">
        <v>258.9939184931676</v>
      </c>
      <c r="I6" s="1">
        <v>238.96136498496406</v>
      </c>
      <c r="J6" s="1">
        <v>219.48282666218</v>
      </c>
      <c r="K6" s="1">
        <v>200.72578714782776</v>
      </c>
      <c r="L6" s="1">
        <v>182.84382467633594</v>
      </c>
      <c r="M6" s="1">
        <v>165.97410879073584</v>
      </c>
      <c r="N6" s="1">
        <v>150.23545646722371</v>
      </c>
      <c r="O6" s="1">
        <v>135.72697992113314</v>
      </c>
      <c r="P6" s="1">
        <v>122.52732603003504</v>
      </c>
      <c r="Q6" s="1">
        <v>110.69447729437957</v>
      </c>
      <c r="R6" s="1">
        <v>100.26605862700302</v>
      </c>
      <c r="S6" s="1">
        <v>91.26007461408004</v>
      </c>
      <c r="T6" s="1">
        <v>83.675989208907708</v>
      </c>
      <c r="U6" s="1">
        <v>77.496054433631485</v>
      </c>
      <c r="V6" s="1">
        <v>72.686796254162985</v>
      </c>
      <c r="W6" s="1">
        <v>69.200573471375037</v>
      </c>
      <c r="X6" s="1">
        <v>66.97713790419057</v>
      </c>
      <c r="Y6" s="1">
        <v>65.945139710683307</v>
      </c>
      <c r="Z6" s="1">
        <v>66.023538678194882</v>
      </c>
      <c r="AA6" s="1">
        <v>67.122899056791439</v>
      </c>
      <c r="AB6" s="1">
        <v>69.146560578739056</v>
      </c>
      <c r="AC6" s="1">
        <v>71.991690610405072</v>
      </c>
      <c r="AD6" s="1">
        <v>75.550231253608175</v>
      </c>
      <c r="AE6" s="1">
        <v>79.709760432328309</v>
      </c>
      <c r="AF6" s="1">
        <v>84.354287778955694</v>
      </c>
      <c r="AG6" s="1">
        <v>89.365005048527323</v>
      </c>
      <c r="AH6" s="1">
        <v>94.621007682353024</v>
      </c>
      <c r="AI6" s="1">
        <f t="shared" si="3"/>
        <v>100</v>
      </c>
      <c r="AJ6" s="1">
        <f t="shared" si="4"/>
        <v>26</v>
      </c>
    </row>
    <row r="7" spans="1:36" x14ac:dyDescent="0.25">
      <c r="A7" s="10"/>
      <c r="B7" s="2" t="s">
        <v>2</v>
      </c>
      <c r="C7" s="1">
        <v>1</v>
      </c>
      <c r="E7" s="5">
        <f t="shared" si="1"/>
        <v>8.2758620689655213E-2</v>
      </c>
      <c r="F7" s="1">
        <f t="shared" si="2"/>
        <v>300</v>
      </c>
      <c r="G7" s="1">
        <v>279.40209642870843</v>
      </c>
      <c r="H7" s="1">
        <v>258.9939184931676</v>
      </c>
      <c r="I7" s="1">
        <v>238.96136498496406</v>
      </c>
      <c r="J7" s="1">
        <v>219.48282666218003</v>
      </c>
      <c r="K7" s="1">
        <v>200.72578714782779</v>
      </c>
      <c r="L7" s="1">
        <v>182.84382467633597</v>
      </c>
      <c r="M7" s="1">
        <v>165.97410879073584</v>
      </c>
      <c r="N7" s="1">
        <v>150.23545646722374</v>
      </c>
      <c r="O7" s="1">
        <v>135.72697992113316</v>
      </c>
      <c r="P7" s="1">
        <v>122.52732603003504</v>
      </c>
      <c r="Q7" s="1">
        <v>110.69447729437957</v>
      </c>
      <c r="R7" s="1">
        <v>100.26605862700302</v>
      </c>
      <c r="S7" s="1">
        <v>91.26007461408004</v>
      </c>
      <c r="T7" s="1">
        <v>83.675989208907708</v>
      </c>
      <c r="U7" s="1">
        <v>77.4960544336315</v>
      </c>
      <c r="V7" s="1">
        <v>72.686796254162985</v>
      </c>
      <c r="W7" s="1">
        <v>69.200573471375037</v>
      </c>
      <c r="X7" s="1">
        <v>66.97713790419057</v>
      </c>
      <c r="Y7" s="1">
        <v>65.945139710683307</v>
      </c>
      <c r="Z7" s="1">
        <v>66.023538678194882</v>
      </c>
      <c r="AA7" s="1">
        <v>67.122899056791439</v>
      </c>
      <c r="AB7" s="1">
        <v>69.146560578739056</v>
      </c>
      <c r="AC7" s="1">
        <v>71.991690610405072</v>
      </c>
      <c r="AD7" s="1">
        <v>75.550231253608175</v>
      </c>
      <c r="AE7" s="1">
        <v>79.709760432328309</v>
      </c>
      <c r="AF7" s="1">
        <v>84.354287778955694</v>
      </c>
      <c r="AG7" s="1">
        <v>89.365005048527323</v>
      </c>
      <c r="AH7" s="1">
        <v>94.621007682353024</v>
      </c>
      <c r="AI7" s="1">
        <f t="shared" si="3"/>
        <v>100</v>
      </c>
      <c r="AJ7" s="1">
        <f t="shared" si="4"/>
        <v>25</v>
      </c>
    </row>
    <row r="8" spans="1:36" x14ac:dyDescent="0.25">
      <c r="E8" s="5">
        <f t="shared" si="1"/>
        <v>7.931034482758624E-2</v>
      </c>
      <c r="F8" s="1">
        <f t="shared" si="2"/>
        <v>300</v>
      </c>
      <c r="G8" s="1">
        <v>279.40209642870843</v>
      </c>
      <c r="H8" s="1">
        <v>258.9939184931676</v>
      </c>
      <c r="I8" s="1">
        <v>238.96136498496406</v>
      </c>
      <c r="J8" s="1">
        <v>219.48282666218003</v>
      </c>
      <c r="K8" s="1">
        <v>200.72578714782782</v>
      </c>
      <c r="L8" s="1">
        <v>182.843824676336</v>
      </c>
      <c r="M8" s="1">
        <v>165.9741087907359</v>
      </c>
      <c r="N8" s="1">
        <v>150.23545646722377</v>
      </c>
      <c r="O8" s="1">
        <v>135.72697992113316</v>
      </c>
      <c r="P8" s="1">
        <v>122.52732603003506</v>
      </c>
      <c r="Q8" s="1">
        <v>110.69447729437957</v>
      </c>
      <c r="R8" s="1">
        <v>100.26605862700303</v>
      </c>
      <c r="S8" s="1">
        <v>91.26007461408004</v>
      </c>
      <c r="T8" s="1">
        <v>83.675989208907708</v>
      </c>
      <c r="U8" s="1">
        <v>77.496054433631514</v>
      </c>
      <c r="V8" s="1">
        <v>72.686796254162985</v>
      </c>
      <c r="W8" s="1">
        <v>69.200573471375037</v>
      </c>
      <c r="X8" s="1">
        <v>66.977137904190585</v>
      </c>
      <c r="Y8" s="1">
        <v>65.945139710683307</v>
      </c>
      <c r="Z8" s="1">
        <v>66.023538678194882</v>
      </c>
      <c r="AA8" s="1">
        <v>67.122899056791439</v>
      </c>
      <c r="AB8" s="1">
        <v>69.14656057873907</v>
      </c>
      <c r="AC8" s="1">
        <v>71.991690610405087</v>
      </c>
      <c r="AD8" s="1">
        <v>75.550231253608175</v>
      </c>
      <c r="AE8" s="1">
        <v>79.709760432328324</v>
      </c>
      <c r="AF8" s="1">
        <v>84.354287778955694</v>
      </c>
      <c r="AG8" s="1">
        <v>89.365005048527323</v>
      </c>
      <c r="AH8" s="1">
        <v>94.621007682353024</v>
      </c>
      <c r="AI8" s="1">
        <f t="shared" si="3"/>
        <v>100</v>
      </c>
      <c r="AJ8" s="1">
        <f t="shared" si="4"/>
        <v>24</v>
      </c>
    </row>
    <row r="9" spans="1:36" x14ac:dyDescent="0.25">
      <c r="A9" s="8"/>
      <c r="B9" s="1" t="s">
        <v>4</v>
      </c>
      <c r="C9" s="1">
        <v>460</v>
      </c>
      <c r="E9" s="5">
        <f t="shared" si="1"/>
        <v>7.5862068965517268E-2</v>
      </c>
      <c r="F9" s="1">
        <f t="shared" si="2"/>
        <v>300</v>
      </c>
      <c r="G9" s="1">
        <v>279.40209642870843</v>
      </c>
      <c r="H9" s="1">
        <v>258.9939184931676</v>
      </c>
      <c r="I9" s="1">
        <v>238.96136498496412</v>
      </c>
      <c r="J9" s="1">
        <v>219.48282666218006</v>
      </c>
      <c r="K9" s="1">
        <v>200.72578714782787</v>
      </c>
      <c r="L9" s="1">
        <v>182.84382467633606</v>
      </c>
      <c r="M9" s="1">
        <v>165.97410879073593</v>
      </c>
      <c r="N9" s="1">
        <v>150.23545646722377</v>
      </c>
      <c r="O9" s="1">
        <v>135.72697992113319</v>
      </c>
      <c r="P9" s="1">
        <v>122.52732603003508</v>
      </c>
      <c r="Q9" s="1">
        <v>110.6944772943796</v>
      </c>
      <c r="R9" s="1">
        <v>100.26605862700308</v>
      </c>
      <c r="S9" s="1">
        <v>91.260074614080054</v>
      </c>
      <c r="T9" s="1">
        <v>83.675989208907737</v>
      </c>
      <c r="U9" s="1">
        <v>77.496054433631542</v>
      </c>
      <c r="V9" s="1">
        <v>72.686796254162999</v>
      </c>
      <c r="W9" s="1">
        <v>69.200573471375051</v>
      </c>
      <c r="X9" s="1">
        <v>66.977137904190599</v>
      </c>
      <c r="Y9" s="1">
        <v>65.945139710683321</v>
      </c>
      <c r="Z9" s="1">
        <v>66.023538678194896</v>
      </c>
      <c r="AA9" s="1">
        <v>67.122899056791439</v>
      </c>
      <c r="AB9" s="1">
        <v>69.14656057873907</v>
      </c>
      <c r="AC9" s="1">
        <v>71.991690610405087</v>
      </c>
      <c r="AD9" s="1">
        <v>75.550231253608175</v>
      </c>
      <c r="AE9" s="1">
        <v>79.709760432328324</v>
      </c>
      <c r="AF9" s="1">
        <v>84.354287778955694</v>
      </c>
      <c r="AG9" s="1">
        <v>89.365005048527323</v>
      </c>
      <c r="AH9" s="1">
        <v>94.621007682353024</v>
      </c>
      <c r="AI9" s="1">
        <f t="shared" si="3"/>
        <v>100</v>
      </c>
      <c r="AJ9" s="1">
        <f t="shared" si="4"/>
        <v>23</v>
      </c>
    </row>
    <row r="10" spans="1:36" x14ac:dyDescent="0.25">
      <c r="A10" s="9"/>
      <c r="B10" s="1" t="s">
        <v>13</v>
      </c>
      <c r="C10" s="1">
        <v>7800</v>
      </c>
      <c r="E10" s="5">
        <f t="shared" si="1"/>
        <v>7.2413793103448296E-2</v>
      </c>
      <c r="F10" s="1">
        <f t="shared" si="2"/>
        <v>300</v>
      </c>
      <c r="G10" s="1">
        <v>279.40209642870843</v>
      </c>
      <c r="H10" s="1">
        <v>258.99391849316766</v>
      </c>
      <c r="I10" s="1">
        <v>238.96136498496418</v>
      </c>
      <c r="J10" s="1">
        <v>219.48282666218012</v>
      </c>
      <c r="K10" s="1">
        <v>200.72578714782793</v>
      </c>
      <c r="L10" s="1">
        <v>182.84382467633608</v>
      </c>
      <c r="M10" s="1">
        <v>165.97410879073595</v>
      </c>
      <c r="N10" s="1">
        <v>150.2354564672238</v>
      </c>
      <c r="O10" s="1">
        <v>135.72697992113319</v>
      </c>
      <c r="P10" s="1">
        <v>122.52732603003511</v>
      </c>
      <c r="Q10" s="1">
        <v>110.69447729437964</v>
      </c>
      <c r="R10" s="1">
        <v>100.2660586270031</v>
      </c>
      <c r="S10" s="1">
        <v>91.260074614080082</v>
      </c>
      <c r="T10" s="1">
        <v>83.675989208907765</v>
      </c>
      <c r="U10" s="1">
        <v>77.496054433631556</v>
      </c>
      <c r="V10" s="1">
        <v>72.686796254163028</v>
      </c>
      <c r="W10" s="1">
        <v>69.200573471375066</v>
      </c>
      <c r="X10" s="1">
        <v>66.977137904190613</v>
      </c>
      <c r="Y10" s="1">
        <v>65.945139710683321</v>
      </c>
      <c r="Z10" s="1">
        <v>66.02353867819491</v>
      </c>
      <c r="AA10" s="1">
        <v>67.122899056791454</v>
      </c>
      <c r="AB10" s="1">
        <v>69.146560578739084</v>
      </c>
      <c r="AC10" s="1">
        <v>71.991690610405101</v>
      </c>
      <c r="AD10" s="1">
        <v>75.550231253608189</v>
      </c>
      <c r="AE10" s="1">
        <v>79.709760432328338</v>
      </c>
      <c r="AF10" s="1">
        <v>84.354287778955694</v>
      </c>
      <c r="AG10" s="1">
        <v>89.365005048527337</v>
      </c>
      <c r="AH10" s="1">
        <v>94.621007682353024</v>
      </c>
      <c r="AI10" s="1">
        <f t="shared" si="3"/>
        <v>100</v>
      </c>
      <c r="AJ10" s="1">
        <f t="shared" si="4"/>
        <v>22</v>
      </c>
    </row>
    <row r="11" spans="1:36" x14ac:dyDescent="0.25">
      <c r="A11" s="10"/>
      <c r="B11" s="1" t="s">
        <v>5</v>
      </c>
      <c r="C11" s="1">
        <v>46</v>
      </c>
      <c r="E11" s="5">
        <f t="shared" si="1"/>
        <v>6.8965517241379323E-2</v>
      </c>
      <c r="F11" s="1">
        <f t="shared" si="2"/>
        <v>300</v>
      </c>
      <c r="G11" s="1">
        <v>279.40209642870849</v>
      </c>
      <c r="H11" s="1">
        <v>258.99391849316771</v>
      </c>
      <c r="I11" s="1">
        <v>238.96136498496423</v>
      </c>
      <c r="J11" s="1">
        <v>219.48282666218017</v>
      </c>
      <c r="K11" s="1">
        <v>200.72578714782802</v>
      </c>
      <c r="L11" s="1">
        <v>182.84382467633617</v>
      </c>
      <c r="M11" s="1">
        <v>165.97410879073601</v>
      </c>
      <c r="N11" s="1">
        <v>150.23545646722386</v>
      </c>
      <c r="O11" s="1">
        <v>135.72697992113325</v>
      </c>
      <c r="P11" s="1">
        <v>122.52732603003517</v>
      </c>
      <c r="Q11" s="1">
        <v>110.69447729437968</v>
      </c>
      <c r="R11" s="1">
        <v>100.26605862700313</v>
      </c>
      <c r="S11" s="1">
        <v>91.260074614080125</v>
      </c>
      <c r="T11" s="1">
        <v>83.675989208907794</v>
      </c>
      <c r="U11" s="1">
        <v>77.496054433631585</v>
      </c>
      <c r="V11" s="1">
        <v>72.686796254163056</v>
      </c>
      <c r="W11" s="1">
        <v>69.200573471375094</v>
      </c>
      <c r="X11" s="1">
        <v>66.977137904190641</v>
      </c>
      <c r="Y11" s="1">
        <v>65.94513971068335</v>
      </c>
      <c r="Z11" s="1">
        <v>66.023538678194939</v>
      </c>
      <c r="AA11" s="1">
        <v>67.122899056791482</v>
      </c>
      <c r="AB11" s="1">
        <v>69.146560578739098</v>
      </c>
      <c r="AC11" s="1">
        <v>71.991690610405129</v>
      </c>
      <c r="AD11" s="1">
        <v>75.550231253608203</v>
      </c>
      <c r="AE11" s="1">
        <v>79.709760432328366</v>
      </c>
      <c r="AF11" s="1">
        <v>84.354287778955722</v>
      </c>
      <c r="AG11" s="1">
        <v>89.365005048527365</v>
      </c>
      <c r="AH11" s="1">
        <v>94.621007682353039</v>
      </c>
      <c r="AI11" s="1">
        <f t="shared" si="3"/>
        <v>100</v>
      </c>
      <c r="AJ11" s="1">
        <f t="shared" si="4"/>
        <v>21</v>
      </c>
    </row>
    <row r="12" spans="1:36" x14ac:dyDescent="0.25">
      <c r="E12" s="5">
        <f t="shared" si="1"/>
        <v>6.5517241379310351E-2</v>
      </c>
      <c r="F12" s="1">
        <f t="shared" si="2"/>
        <v>300</v>
      </c>
      <c r="G12" s="1">
        <v>279.40209642870855</v>
      </c>
      <c r="H12" s="1">
        <v>258.99391849316783</v>
      </c>
      <c r="I12" s="1">
        <v>238.96136498496435</v>
      </c>
      <c r="J12" s="1">
        <v>219.48282666218023</v>
      </c>
      <c r="K12" s="1">
        <v>200.7257871478281</v>
      </c>
      <c r="L12" s="1">
        <v>182.84382467633625</v>
      </c>
      <c r="M12" s="1">
        <v>165.9741087907361</v>
      </c>
      <c r="N12" s="1">
        <v>150.23545646722394</v>
      </c>
      <c r="O12" s="1">
        <v>135.72697992113331</v>
      </c>
      <c r="P12" s="1">
        <v>122.52732603003523</v>
      </c>
      <c r="Q12" s="1">
        <v>110.69447729437974</v>
      </c>
      <c r="R12" s="1">
        <v>100.26605862700319</v>
      </c>
      <c r="S12" s="1">
        <v>91.260074614080168</v>
      </c>
      <c r="T12" s="1">
        <v>83.675989208907851</v>
      </c>
      <c r="U12" s="1">
        <v>77.496054433631613</v>
      </c>
      <c r="V12" s="1">
        <v>72.686796254163085</v>
      </c>
      <c r="W12" s="1">
        <v>69.200573471375137</v>
      </c>
      <c r="X12" s="1">
        <v>66.97713790419067</v>
      </c>
      <c r="Y12" s="1">
        <v>65.945139710683392</v>
      </c>
      <c r="Z12" s="1">
        <v>66.023538678194967</v>
      </c>
      <c r="AA12" s="1">
        <v>67.12289905679151</v>
      </c>
      <c r="AB12" s="1">
        <v>69.146560578739141</v>
      </c>
      <c r="AC12" s="1">
        <v>71.991690610405158</v>
      </c>
      <c r="AD12" s="1">
        <v>75.550231253608231</v>
      </c>
      <c r="AE12" s="1">
        <v>79.709760432328409</v>
      </c>
      <c r="AF12" s="1">
        <v>84.354287778955751</v>
      </c>
      <c r="AG12" s="1">
        <v>89.365005048527394</v>
      </c>
      <c r="AH12" s="1">
        <v>94.621007682353067</v>
      </c>
      <c r="AI12" s="1">
        <f t="shared" si="3"/>
        <v>100</v>
      </c>
      <c r="AJ12" s="1">
        <f t="shared" si="4"/>
        <v>20</v>
      </c>
    </row>
    <row r="13" spans="1:36" x14ac:dyDescent="0.25">
      <c r="A13" s="8"/>
      <c r="B13" s="1" t="s">
        <v>6</v>
      </c>
      <c r="C13" s="1">
        <v>300</v>
      </c>
      <c r="E13" s="5">
        <f t="shared" si="1"/>
        <v>6.2068965517241385E-2</v>
      </c>
      <c r="F13" s="1">
        <f t="shared" si="2"/>
        <v>300</v>
      </c>
      <c r="G13" s="1">
        <v>279.40209642870855</v>
      </c>
      <c r="H13" s="1">
        <v>258.99391849316783</v>
      </c>
      <c r="I13" s="1">
        <v>238.96136498496438</v>
      </c>
      <c r="J13" s="1">
        <v>219.48282666218029</v>
      </c>
      <c r="K13" s="1">
        <v>200.72578714782813</v>
      </c>
      <c r="L13" s="1">
        <v>182.84382467633628</v>
      </c>
      <c r="M13" s="1">
        <v>165.97410879073612</v>
      </c>
      <c r="N13" s="1">
        <v>150.235456467224</v>
      </c>
      <c r="O13" s="1">
        <v>135.72697992113333</v>
      </c>
      <c r="P13" s="1">
        <v>122.52732603003525</v>
      </c>
      <c r="Q13" s="1">
        <v>110.69447729437977</v>
      </c>
      <c r="R13" s="1">
        <v>100.26605862700322</v>
      </c>
      <c r="S13" s="1">
        <v>91.260074614080196</v>
      </c>
      <c r="T13" s="1">
        <v>83.675989208907879</v>
      </c>
      <c r="U13" s="1">
        <v>77.496054433631627</v>
      </c>
      <c r="V13" s="1">
        <v>72.686796254163099</v>
      </c>
      <c r="W13" s="1">
        <v>69.200573471375165</v>
      </c>
      <c r="X13" s="1">
        <v>66.977137904190684</v>
      </c>
      <c r="Y13" s="1">
        <v>65.945139710683407</v>
      </c>
      <c r="Z13" s="1">
        <v>66.023538678194996</v>
      </c>
      <c r="AA13" s="1">
        <v>67.122899056791539</v>
      </c>
      <c r="AB13" s="1">
        <v>69.146560578739155</v>
      </c>
      <c r="AC13" s="1">
        <v>71.991690610405172</v>
      </c>
      <c r="AD13" s="1">
        <v>75.550231253608246</v>
      </c>
      <c r="AE13" s="1">
        <v>79.709760432328409</v>
      </c>
      <c r="AF13" s="1">
        <v>84.354287778955765</v>
      </c>
      <c r="AG13" s="1">
        <v>89.365005048527394</v>
      </c>
      <c r="AH13" s="1">
        <v>94.621007682353081</v>
      </c>
      <c r="AI13" s="1">
        <f t="shared" si="3"/>
        <v>100</v>
      </c>
      <c r="AJ13" s="1">
        <f t="shared" si="4"/>
        <v>19</v>
      </c>
    </row>
    <row r="14" spans="1:36" x14ac:dyDescent="0.25">
      <c r="A14" s="10"/>
      <c r="B14" s="1" t="s">
        <v>7</v>
      </c>
      <c r="C14" s="1">
        <v>100</v>
      </c>
      <c r="E14" s="5">
        <f t="shared" si="1"/>
        <v>5.862068965517242E-2</v>
      </c>
      <c r="F14" s="1">
        <f t="shared" si="2"/>
        <v>300</v>
      </c>
      <c r="G14" s="1">
        <v>279.40209642870855</v>
      </c>
      <c r="H14" s="1">
        <v>258.99391849316783</v>
      </c>
      <c r="I14" s="1">
        <v>238.96136498496435</v>
      </c>
      <c r="J14" s="1">
        <v>219.48282666218023</v>
      </c>
      <c r="K14" s="1">
        <v>200.7257871478281</v>
      </c>
      <c r="L14" s="1">
        <v>182.84382467633623</v>
      </c>
      <c r="M14" s="1">
        <v>165.97410879073612</v>
      </c>
      <c r="N14" s="1">
        <v>150.235456467224</v>
      </c>
      <c r="O14" s="1">
        <v>135.72697992113336</v>
      </c>
      <c r="P14" s="1">
        <v>122.52732603003525</v>
      </c>
      <c r="Q14" s="1">
        <v>110.69447729437977</v>
      </c>
      <c r="R14" s="1">
        <v>100.26605862700322</v>
      </c>
      <c r="S14" s="1">
        <v>91.260074614080196</v>
      </c>
      <c r="T14" s="1">
        <v>83.675989208907879</v>
      </c>
      <c r="U14" s="1">
        <v>77.496054433631627</v>
      </c>
      <c r="V14" s="1">
        <v>72.686796254163099</v>
      </c>
      <c r="W14" s="1">
        <v>69.200573471375165</v>
      </c>
      <c r="X14" s="1">
        <v>66.97713790419067</v>
      </c>
      <c r="Y14" s="1">
        <v>65.945139710683407</v>
      </c>
      <c r="Z14" s="1">
        <v>66.023538678194996</v>
      </c>
      <c r="AA14" s="1">
        <v>67.122899056791539</v>
      </c>
      <c r="AB14" s="1">
        <v>69.146560578739155</v>
      </c>
      <c r="AC14" s="1">
        <v>71.991690610405158</v>
      </c>
      <c r="AD14" s="1">
        <v>75.550231253608246</v>
      </c>
      <c r="AE14" s="1">
        <v>79.709760432328409</v>
      </c>
      <c r="AF14" s="1">
        <v>84.354287778955751</v>
      </c>
      <c r="AG14" s="1">
        <v>89.365005048527394</v>
      </c>
      <c r="AH14" s="1">
        <v>94.621007682353053</v>
      </c>
      <c r="AI14" s="1">
        <f t="shared" si="3"/>
        <v>100</v>
      </c>
      <c r="AJ14" s="1">
        <f t="shared" si="4"/>
        <v>18</v>
      </c>
    </row>
    <row r="15" spans="1:36" x14ac:dyDescent="0.25">
      <c r="E15" s="5">
        <f t="shared" si="1"/>
        <v>5.5172413793103454E-2</v>
      </c>
      <c r="F15" s="1">
        <f t="shared" si="2"/>
        <v>300</v>
      </c>
      <c r="G15" s="1">
        <v>279.40209642870855</v>
      </c>
      <c r="H15" s="1">
        <v>258.99391849316777</v>
      </c>
      <c r="I15" s="1">
        <v>238.96136498496429</v>
      </c>
      <c r="J15" s="1">
        <v>219.48282666218023</v>
      </c>
      <c r="K15" s="1">
        <v>200.72578714782807</v>
      </c>
      <c r="L15" s="1">
        <v>182.84382467633623</v>
      </c>
      <c r="M15" s="1">
        <v>165.97410879073612</v>
      </c>
      <c r="N15" s="1">
        <v>150.23545646722394</v>
      </c>
      <c r="O15" s="1">
        <v>135.72697992113333</v>
      </c>
      <c r="P15" s="1">
        <v>122.52732603003525</v>
      </c>
      <c r="Q15" s="1">
        <v>110.69447729437977</v>
      </c>
      <c r="R15" s="1">
        <v>100.26605862700322</v>
      </c>
      <c r="S15" s="1">
        <v>91.260074614080196</v>
      </c>
      <c r="T15" s="1">
        <v>83.675989208907865</v>
      </c>
      <c r="U15" s="1">
        <v>77.496054433631627</v>
      </c>
      <c r="V15" s="1">
        <v>72.686796254163099</v>
      </c>
      <c r="W15" s="1">
        <v>69.200573471375151</v>
      </c>
      <c r="X15" s="1">
        <v>66.97713790419067</v>
      </c>
      <c r="Y15" s="1">
        <v>65.945139710683407</v>
      </c>
      <c r="Z15" s="1">
        <v>66.023538678194996</v>
      </c>
      <c r="AA15" s="1">
        <v>67.122899056791525</v>
      </c>
      <c r="AB15" s="1">
        <v>69.146560578739155</v>
      </c>
      <c r="AC15" s="1">
        <v>71.991690610405158</v>
      </c>
      <c r="AD15" s="1">
        <v>75.550231253608231</v>
      </c>
      <c r="AE15" s="1">
        <v>79.709760432328395</v>
      </c>
      <c r="AF15" s="1">
        <v>84.354287778955737</v>
      </c>
      <c r="AG15" s="1">
        <v>89.365005048527365</v>
      </c>
      <c r="AH15" s="1">
        <v>94.621007682353039</v>
      </c>
      <c r="AI15" s="1">
        <f t="shared" si="3"/>
        <v>100</v>
      </c>
      <c r="AJ15" s="1">
        <f t="shared" si="4"/>
        <v>17</v>
      </c>
    </row>
    <row r="16" spans="1:36" x14ac:dyDescent="0.25">
      <c r="A16" s="8"/>
      <c r="B16" s="1" t="s">
        <v>8</v>
      </c>
      <c r="C16" s="1">
        <f>C11/C4^2</f>
        <v>3868599.9999999991</v>
      </c>
      <c r="E16" s="5">
        <f t="shared" si="1"/>
        <v>5.1724137931034489E-2</v>
      </c>
      <c r="F16" s="1">
        <f t="shared" si="2"/>
        <v>300</v>
      </c>
      <c r="G16" s="1">
        <v>279.402096428709</v>
      </c>
      <c r="H16" s="1">
        <v>258.99391849316783</v>
      </c>
      <c r="I16" s="1">
        <v>238.96136498496432</v>
      </c>
      <c r="J16" s="1">
        <v>219.48282666218029</v>
      </c>
      <c r="K16" s="1">
        <v>200.7257871478281</v>
      </c>
      <c r="L16" s="1">
        <v>182.84382467633625</v>
      </c>
      <c r="M16" s="1">
        <v>165.97410879073618</v>
      </c>
      <c r="N16" s="1">
        <v>150.23545646722397</v>
      </c>
      <c r="O16" s="1">
        <v>135.72697992113336</v>
      </c>
      <c r="P16" s="1">
        <v>122.52732603003525</v>
      </c>
      <c r="Q16" s="1">
        <v>110.69447729437978</v>
      </c>
      <c r="R16" s="1">
        <v>100.26605862700322</v>
      </c>
      <c r="S16" s="1">
        <v>91.26007461408021</v>
      </c>
      <c r="T16" s="1">
        <v>83.675989208907851</v>
      </c>
      <c r="U16" s="1">
        <v>77.496054433631627</v>
      </c>
      <c r="V16" s="1">
        <v>72.686796254163113</v>
      </c>
      <c r="W16" s="1">
        <v>69.200573471375151</v>
      </c>
      <c r="X16" s="1">
        <v>66.977137904190684</v>
      </c>
      <c r="Y16" s="1">
        <v>65.945139710683407</v>
      </c>
      <c r="Z16" s="1">
        <v>66.023538678194996</v>
      </c>
      <c r="AA16" s="1">
        <v>67.122899056791539</v>
      </c>
      <c r="AB16" s="1">
        <v>69.146560578739155</v>
      </c>
      <c r="AC16" s="1">
        <v>71.991690610405172</v>
      </c>
      <c r="AD16" s="1">
        <v>75.550231253608246</v>
      </c>
      <c r="AE16" s="1">
        <v>79.709760432328395</v>
      </c>
      <c r="AF16" s="1">
        <v>84.354287778955751</v>
      </c>
      <c r="AG16" s="1">
        <v>89.365005048527379</v>
      </c>
      <c r="AH16" s="1">
        <v>94.621007682353053</v>
      </c>
      <c r="AI16" s="1">
        <f t="shared" si="3"/>
        <v>100</v>
      </c>
      <c r="AJ16" s="1">
        <f t="shared" si="4"/>
        <v>16</v>
      </c>
    </row>
    <row r="17" spans="1:36" x14ac:dyDescent="0.25">
      <c r="A17" s="9"/>
      <c r="B17" s="1" t="s">
        <v>9</v>
      </c>
      <c r="C17" s="11">
        <f>(2*C11/C4^2)+(C10*C9)/C7</f>
        <v>11325199.999999998</v>
      </c>
      <c r="E17" s="5">
        <f t="shared" si="1"/>
        <v>4.8275862068965524E-2</v>
      </c>
      <c r="F17" s="1">
        <f t="shared" si="2"/>
        <v>300</v>
      </c>
      <c r="G17" s="1">
        <v>279.4020964287086</v>
      </c>
      <c r="H17" s="1">
        <v>258.99391849316783</v>
      </c>
      <c r="I17" s="1">
        <v>238.96136498496435</v>
      </c>
      <c r="J17" s="1">
        <v>219.48282666218029</v>
      </c>
      <c r="K17" s="1">
        <v>200.7257871478281</v>
      </c>
      <c r="L17" s="1">
        <v>182.84382467633628</v>
      </c>
      <c r="M17" s="1">
        <v>165.97410879073618</v>
      </c>
      <c r="N17" s="1">
        <v>150.235456467224</v>
      </c>
      <c r="O17" s="1">
        <v>135.72697992113336</v>
      </c>
      <c r="P17" s="1">
        <v>122.52732603003525</v>
      </c>
      <c r="Q17" s="1">
        <v>110.69447729437977</v>
      </c>
      <c r="R17" s="1">
        <v>100.26605862700322</v>
      </c>
      <c r="S17" s="1">
        <v>91.26007461408021</v>
      </c>
      <c r="T17" s="1">
        <v>83.675989208907851</v>
      </c>
      <c r="U17" s="1">
        <v>77.496054433631627</v>
      </c>
      <c r="V17" s="1">
        <v>72.686796254163113</v>
      </c>
      <c r="W17" s="1">
        <v>69.200573471375151</v>
      </c>
      <c r="X17" s="1">
        <v>66.977137904190698</v>
      </c>
      <c r="Y17" s="1">
        <v>65.945139710683421</v>
      </c>
      <c r="Z17" s="1">
        <v>66.023538678194996</v>
      </c>
      <c r="AA17" s="1">
        <v>67.122899056791539</v>
      </c>
      <c r="AB17" s="1">
        <v>69.146560578739155</v>
      </c>
      <c r="AC17" s="1">
        <v>71.991690610405172</v>
      </c>
      <c r="AD17" s="1">
        <v>75.550231253608246</v>
      </c>
      <c r="AE17" s="1">
        <v>79.709760432328409</v>
      </c>
      <c r="AF17" s="1">
        <v>84.354287778955751</v>
      </c>
      <c r="AG17" s="1">
        <v>89.365005048527379</v>
      </c>
      <c r="AH17" s="1">
        <v>94.621007682353053</v>
      </c>
      <c r="AI17" s="1">
        <f t="shared" si="3"/>
        <v>100</v>
      </c>
      <c r="AJ17" s="1">
        <f t="shared" si="4"/>
        <v>15</v>
      </c>
    </row>
    <row r="18" spans="1:36" x14ac:dyDescent="0.25">
      <c r="A18" s="10"/>
      <c r="B18" s="1" t="s">
        <v>10</v>
      </c>
      <c r="C18" s="1">
        <f>C16</f>
        <v>3868599.9999999991</v>
      </c>
      <c r="E18" s="5">
        <f t="shared" si="1"/>
        <v>4.4827586206896558E-2</v>
      </c>
      <c r="F18" s="1">
        <f t="shared" si="2"/>
        <v>300</v>
      </c>
      <c r="G18" s="1">
        <v>279.40209642870855</v>
      </c>
      <c r="H18" s="1">
        <v>258.99391849316783</v>
      </c>
      <c r="I18" s="1">
        <v>238.96136498496432</v>
      </c>
      <c r="J18" s="1">
        <v>219.48282666218029</v>
      </c>
      <c r="K18" s="1">
        <v>200.7257871478281</v>
      </c>
      <c r="L18" s="1">
        <v>182.84382467633625</v>
      </c>
      <c r="M18" s="1">
        <v>165.97410879073618</v>
      </c>
      <c r="N18" s="1">
        <v>150.235456467224</v>
      </c>
      <c r="O18" s="1">
        <v>135.72697992113336</v>
      </c>
      <c r="P18" s="1">
        <v>122.52732603003525</v>
      </c>
      <c r="Q18" s="1">
        <v>110.69447729437977</v>
      </c>
      <c r="R18" s="1">
        <v>100.26605862700323</v>
      </c>
      <c r="S18" s="1">
        <v>91.26007461408021</v>
      </c>
      <c r="T18" s="1">
        <v>83.675989208907851</v>
      </c>
      <c r="U18" s="1">
        <v>77.496054433631627</v>
      </c>
      <c r="V18" s="1">
        <v>72.686796254163113</v>
      </c>
      <c r="W18" s="1">
        <v>69.200573471375151</v>
      </c>
      <c r="X18" s="1">
        <v>66.977137904190698</v>
      </c>
      <c r="Y18" s="1">
        <v>65.945139710683421</v>
      </c>
      <c r="Z18" s="1">
        <v>66.023538678194996</v>
      </c>
      <c r="AA18" s="1">
        <v>67.122899056791539</v>
      </c>
      <c r="AB18" s="1">
        <v>69.14656057873917</v>
      </c>
      <c r="AC18" s="1">
        <v>71.991690610405172</v>
      </c>
      <c r="AD18" s="1">
        <v>75.550231253608246</v>
      </c>
      <c r="AE18" s="1">
        <v>79.709760432328409</v>
      </c>
      <c r="AF18" s="1">
        <v>84.354287778955751</v>
      </c>
      <c r="AG18" s="1">
        <v>89.365005048527379</v>
      </c>
      <c r="AH18" s="1">
        <v>94.621007682353053</v>
      </c>
      <c r="AI18" s="1">
        <f t="shared" si="3"/>
        <v>100</v>
      </c>
      <c r="AJ18" s="1">
        <f t="shared" si="4"/>
        <v>14</v>
      </c>
    </row>
    <row r="19" spans="1:36" x14ac:dyDescent="0.25">
      <c r="E19" s="5">
        <f t="shared" si="1"/>
        <v>4.1379310344827593E-2</v>
      </c>
      <c r="F19" s="1">
        <f t="shared" si="2"/>
        <v>300</v>
      </c>
      <c r="G19" s="1">
        <v>279.40209642870849</v>
      </c>
      <c r="H19" s="1">
        <v>258.99391849316771</v>
      </c>
      <c r="I19" s="1">
        <v>238.96136498496429</v>
      </c>
      <c r="J19" s="1">
        <v>219.48282666218023</v>
      </c>
      <c r="K19" s="1">
        <v>200.72578714782807</v>
      </c>
      <c r="L19" s="1">
        <v>182.84382467633623</v>
      </c>
      <c r="M19" s="1">
        <v>165.97410879073615</v>
      </c>
      <c r="N19" s="1">
        <v>150.23545646722397</v>
      </c>
      <c r="O19" s="1">
        <v>135.72697992113333</v>
      </c>
      <c r="P19" s="1">
        <v>122.52732603003525</v>
      </c>
      <c r="Q19" s="1">
        <v>110.69447729437977</v>
      </c>
      <c r="R19" s="1">
        <v>100.26605862700322</v>
      </c>
      <c r="S19" s="1">
        <v>91.260074614080196</v>
      </c>
      <c r="T19" s="1">
        <v>83.675989208907851</v>
      </c>
      <c r="U19" s="1">
        <v>77.496054433631627</v>
      </c>
      <c r="V19" s="1">
        <v>72.686796254163099</v>
      </c>
      <c r="W19" s="1">
        <v>69.200573471375151</v>
      </c>
      <c r="X19" s="1">
        <v>66.977137904190698</v>
      </c>
      <c r="Y19" s="1">
        <v>65.945139710683421</v>
      </c>
      <c r="Z19" s="1">
        <v>66.023538678194996</v>
      </c>
      <c r="AA19" s="1">
        <v>67.122899056791539</v>
      </c>
      <c r="AB19" s="1">
        <v>69.14656057873917</v>
      </c>
      <c r="AC19" s="1">
        <v>71.991690610405172</v>
      </c>
      <c r="AD19" s="1">
        <v>75.550231253608246</v>
      </c>
      <c r="AE19" s="1">
        <v>79.709760432328395</v>
      </c>
      <c r="AF19" s="1">
        <v>84.354287778955737</v>
      </c>
      <c r="AG19" s="1">
        <v>89.365005048527365</v>
      </c>
      <c r="AH19" s="1">
        <v>94.621007682353053</v>
      </c>
      <c r="AI19" s="1">
        <f t="shared" si="3"/>
        <v>100</v>
      </c>
      <c r="AJ19" s="1">
        <f t="shared" si="4"/>
        <v>13</v>
      </c>
    </row>
    <row r="20" spans="1:36" x14ac:dyDescent="0.25">
      <c r="A20" s="8"/>
      <c r="B20" s="1" t="s">
        <v>8</v>
      </c>
      <c r="C20" s="1">
        <f>C11/C5^2</f>
        <v>3868599.9999999991</v>
      </c>
      <c r="E20" s="5">
        <f t="shared" si="1"/>
        <v>3.7931034482758627E-2</v>
      </c>
      <c r="F20" s="1">
        <f t="shared" si="2"/>
        <v>300</v>
      </c>
      <c r="G20" s="1">
        <v>279.40209642870849</v>
      </c>
      <c r="H20" s="1">
        <v>258.99391849316771</v>
      </c>
      <c r="I20" s="1">
        <v>238.96136498496429</v>
      </c>
      <c r="J20" s="1">
        <v>219.48282666218023</v>
      </c>
      <c r="K20" s="1">
        <v>200.72578714782807</v>
      </c>
      <c r="L20" s="1">
        <v>182.84382467633623</v>
      </c>
      <c r="M20" s="1">
        <v>165.97410879073615</v>
      </c>
      <c r="N20" s="1">
        <v>150.23545646722397</v>
      </c>
      <c r="O20" s="1">
        <v>135.72697992113333</v>
      </c>
      <c r="P20" s="1">
        <v>122.52732603003525</v>
      </c>
      <c r="Q20" s="1">
        <v>110.69447729437977</v>
      </c>
      <c r="R20" s="1">
        <v>100.26605862700322</v>
      </c>
      <c r="S20" s="1">
        <v>91.260074614080196</v>
      </c>
      <c r="T20" s="1">
        <v>83.675989208907851</v>
      </c>
      <c r="U20" s="1">
        <v>77.496054433631627</v>
      </c>
      <c r="V20" s="1">
        <v>72.686796254163099</v>
      </c>
      <c r="W20" s="1">
        <v>69.200573471375151</v>
      </c>
      <c r="X20" s="1">
        <v>66.977137904190698</v>
      </c>
      <c r="Y20" s="1">
        <v>65.945139710683421</v>
      </c>
      <c r="Z20" s="1">
        <v>66.023538678194996</v>
      </c>
      <c r="AA20" s="1">
        <v>67.122899056791525</v>
      </c>
      <c r="AB20" s="1">
        <v>69.14656057873917</v>
      </c>
      <c r="AC20" s="1">
        <v>71.991690610405172</v>
      </c>
      <c r="AD20" s="1">
        <v>75.550231253608231</v>
      </c>
      <c r="AE20" s="1">
        <v>79.709760432328395</v>
      </c>
      <c r="AF20" s="1">
        <v>84.354287778955737</v>
      </c>
      <c r="AG20" s="1">
        <v>89.365005048527365</v>
      </c>
      <c r="AH20" s="1">
        <v>94.621007682353053</v>
      </c>
      <c r="AI20" s="1">
        <f t="shared" si="3"/>
        <v>100</v>
      </c>
      <c r="AJ20" s="1">
        <f t="shared" si="4"/>
        <v>12</v>
      </c>
    </row>
    <row r="21" spans="1:36" x14ac:dyDescent="0.25">
      <c r="A21" s="9"/>
      <c r="B21" s="1" t="s">
        <v>9</v>
      </c>
      <c r="C21" s="1">
        <f>(2*C11/C5^2)+(C10*C9)/C7</f>
        <v>11325199.999999998</v>
      </c>
      <c r="E21" s="5">
        <f t="shared" si="1"/>
        <v>3.4482758620689662E-2</v>
      </c>
      <c r="F21" s="1">
        <f t="shared" si="2"/>
        <v>300</v>
      </c>
      <c r="G21" s="1">
        <v>279.40209642870855</v>
      </c>
      <c r="H21" s="1">
        <v>258.99391849316771</v>
      </c>
      <c r="I21" s="1">
        <v>238.96136498496429</v>
      </c>
      <c r="J21" s="1">
        <v>219.48282666218026</v>
      </c>
      <c r="K21" s="1">
        <v>200.7257871478281</v>
      </c>
      <c r="L21" s="1">
        <v>182.84382467633623</v>
      </c>
      <c r="M21" s="1">
        <v>165.97410879073615</v>
      </c>
      <c r="N21" s="1">
        <v>150.235456467224</v>
      </c>
      <c r="O21" s="1">
        <v>135.72697992113333</v>
      </c>
      <c r="P21" s="1">
        <v>122.52732603003525</v>
      </c>
      <c r="Q21" s="1">
        <v>110.69447729437977</v>
      </c>
      <c r="R21" s="1">
        <v>100.26605862700322</v>
      </c>
      <c r="S21" s="1">
        <v>91.260074614080196</v>
      </c>
      <c r="T21" s="1">
        <v>83.675989208907851</v>
      </c>
      <c r="U21" s="1">
        <v>77.496054433631642</v>
      </c>
      <c r="V21" s="1">
        <v>72.686796254163099</v>
      </c>
      <c r="W21" s="1">
        <v>69.200573471375165</v>
      </c>
      <c r="X21" s="1">
        <v>66.977137904190698</v>
      </c>
      <c r="Y21" s="1">
        <v>65.945139710683421</v>
      </c>
      <c r="Z21" s="1">
        <v>66.023538678194996</v>
      </c>
      <c r="AA21" s="1">
        <v>67.122899056791525</v>
      </c>
      <c r="AB21" s="1">
        <v>69.14656057873917</v>
      </c>
      <c r="AC21" s="1">
        <v>71.991690610405172</v>
      </c>
      <c r="AD21" s="1">
        <v>75.550231253608231</v>
      </c>
      <c r="AE21" s="1">
        <v>79.709760432328409</v>
      </c>
      <c r="AF21" s="1">
        <v>84.354287778955751</v>
      </c>
      <c r="AG21" s="1">
        <v>89.365005048527394</v>
      </c>
      <c r="AH21" s="1">
        <v>94.621007682353053</v>
      </c>
      <c r="AI21" s="1">
        <f t="shared" si="3"/>
        <v>100</v>
      </c>
      <c r="AJ21" s="1">
        <f t="shared" si="4"/>
        <v>11</v>
      </c>
    </row>
    <row r="22" spans="1:36" x14ac:dyDescent="0.25">
      <c r="A22" s="10"/>
      <c r="B22" s="1" t="s">
        <v>10</v>
      </c>
      <c r="C22" s="1">
        <f>C20</f>
        <v>3868599.9999999991</v>
      </c>
      <c r="E22" s="5">
        <f t="shared" si="1"/>
        <v>3.1034482758620693E-2</v>
      </c>
      <c r="F22" s="1">
        <f t="shared" si="2"/>
        <v>300</v>
      </c>
      <c r="G22" s="1">
        <v>279.40209642870855</v>
      </c>
      <c r="H22" s="1">
        <v>258.99391849316771</v>
      </c>
      <c r="I22" s="1">
        <v>238.96136498496426</v>
      </c>
      <c r="J22" s="1">
        <v>219.48282666218029</v>
      </c>
      <c r="K22" s="1">
        <v>200.72578714782807</v>
      </c>
      <c r="L22" s="1">
        <v>182.84382467633623</v>
      </c>
      <c r="M22" s="1">
        <v>165.97410879073612</v>
      </c>
      <c r="N22" s="1">
        <v>150.23545646722397</v>
      </c>
      <c r="O22" s="1">
        <v>135.72697992113333</v>
      </c>
      <c r="P22" s="1">
        <v>122.52732603003525</v>
      </c>
      <c r="Q22" s="1">
        <v>110.69447729437977</v>
      </c>
      <c r="R22" s="1">
        <v>100.26605862700322</v>
      </c>
      <c r="S22" s="1">
        <v>91.260074614080196</v>
      </c>
      <c r="T22" s="1">
        <v>83.675989208907851</v>
      </c>
      <c r="U22" s="1">
        <v>77.496054433631642</v>
      </c>
      <c r="V22" s="1">
        <v>72.686796254163099</v>
      </c>
      <c r="W22" s="1">
        <v>69.200573471375151</v>
      </c>
      <c r="X22" s="1">
        <v>66.977137904190698</v>
      </c>
      <c r="Y22" s="1">
        <v>65.945139710683421</v>
      </c>
      <c r="Z22" s="1">
        <v>66.023538678194996</v>
      </c>
      <c r="AA22" s="1">
        <v>67.122899056791525</v>
      </c>
      <c r="AB22" s="1">
        <v>69.146560578739155</v>
      </c>
      <c r="AC22" s="1">
        <v>71.991690610405172</v>
      </c>
      <c r="AD22" s="1">
        <v>75.550231253608231</v>
      </c>
      <c r="AE22" s="1">
        <v>79.709760432328409</v>
      </c>
      <c r="AF22" s="1">
        <v>84.354287778955751</v>
      </c>
      <c r="AG22" s="1">
        <v>89.365005048527394</v>
      </c>
      <c r="AH22" s="1">
        <v>94.621007682353053</v>
      </c>
      <c r="AI22" s="1">
        <f t="shared" si="3"/>
        <v>100</v>
      </c>
      <c r="AJ22" s="1">
        <f t="shared" si="4"/>
        <v>10</v>
      </c>
    </row>
    <row r="23" spans="1:36" x14ac:dyDescent="0.25">
      <c r="E23" s="5">
        <f t="shared" si="1"/>
        <v>2.7586206896551727E-2</v>
      </c>
      <c r="F23" s="1">
        <f t="shared" si="2"/>
        <v>300</v>
      </c>
      <c r="G23" s="1">
        <v>279.40209642870849</v>
      </c>
      <c r="H23" s="1">
        <v>258.99391849316766</v>
      </c>
      <c r="I23" s="1">
        <v>238.96136498496423</v>
      </c>
      <c r="J23" s="1">
        <v>219.48282666218023</v>
      </c>
      <c r="K23" s="1">
        <v>200.72578714782804</v>
      </c>
      <c r="L23" s="1">
        <v>182.84382467633617</v>
      </c>
      <c r="M23" s="1">
        <v>165.9741087907361</v>
      </c>
      <c r="N23" s="1">
        <v>150.23545646722391</v>
      </c>
      <c r="O23" s="1">
        <v>135.72697992113331</v>
      </c>
      <c r="P23" s="1">
        <v>122.52732603003523</v>
      </c>
      <c r="Q23" s="1">
        <v>110.69447729437972</v>
      </c>
      <c r="R23" s="1">
        <v>100.26605862700319</v>
      </c>
      <c r="S23" s="1">
        <v>91.260074614080182</v>
      </c>
      <c r="T23" s="1">
        <v>83.675989208907851</v>
      </c>
      <c r="U23" s="1">
        <v>77.496054433631627</v>
      </c>
      <c r="V23" s="1">
        <v>72.686796254163085</v>
      </c>
      <c r="W23" s="1">
        <v>69.200573471375137</v>
      </c>
      <c r="X23" s="1">
        <v>66.977137904190684</v>
      </c>
      <c r="Y23" s="1">
        <v>65.945139710683407</v>
      </c>
      <c r="Z23" s="1">
        <v>66.023538678194981</v>
      </c>
      <c r="AA23" s="1">
        <v>67.12289905679151</v>
      </c>
      <c r="AB23" s="1">
        <v>69.146560578739141</v>
      </c>
      <c r="AC23" s="1">
        <v>71.991690610405158</v>
      </c>
      <c r="AD23" s="1">
        <v>75.550231253608203</v>
      </c>
      <c r="AE23" s="1">
        <v>79.70976043232838</v>
      </c>
      <c r="AF23" s="1">
        <v>84.354287778955722</v>
      </c>
      <c r="AG23" s="1">
        <v>89.365005048527365</v>
      </c>
      <c r="AH23" s="1">
        <v>94.621007682353053</v>
      </c>
      <c r="AI23" s="1">
        <f t="shared" si="3"/>
        <v>100</v>
      </c>
      <c r="AJ23" s="1">
        <f t="shared" si="4"/>
        <v>9</v>
      </c>
    </row>
    <row r="24" spans="1:36" x14ac:dyDescent="0.25">
      <c r="E24" s="5">
        <f t="shared" si="1"/>
        <v>2.4137931034482762E-2</v>
      </c>
      <c r="F24" s="1">
        <f t="shared" si="2"/>
        <v>300</v>
      </c>
      <c r="G24" s="1">
        <v>279.40209642870849</v>
      </c>
      <c r="H24" s="1">
        <v>258.99391849316766</v>
      </c>
      <c r="I24" s="1">
        <v>238.96136498496423</v>
      </c>
      <c r="J24" s="1">
        <v>219.48282666218023</v>
      </c>
      <c r="K24" s="1">
        <v>200.72578714782802</v>
      </c>
      <c r="L24" s="1">
        <v>182.84382467633617</v>
      </c>
      <c r="M24" s="1">
        <v>165.97410879073607</v>
      </c>
      <c r="N24" s="1">
        <v>150.23545646722391</v>
      </c>
      <c r="O24" s="1">
        <v>135.72697992113328</v>
      </c>
      <c r="P24" s="1">
        <v>122.5273260300352</v>
      </c>
      <c r="Q24" s="1">
        <v>110.69447729437969</v>
      </c>
      <c r="R24" s="1">
        <v>100.26605862700316</v>
      </c>
      <c r="S24" s="1">
        <v>91.260074614080168</v>
      </c>
      <c r="T24" s="1">
        <v>83.675989208907822</v>
      </c>
      <c r="U24" s="1">
        <v>77.496054433631613</v>
      </c>
      <c r="V24" s="1">
        <v>72.68679625416307</v>
      </c>
      <c r="W24" s="1">
        <v>69.200573471375137</v>
      </c>
      <c r="X24" s="1">
        <v>66.97713790419067</v>
      </c>
      <c r="Y24" s="1">
        <v>65.945139710683392</v>
      </c>
      <c r="Z24" s="1">
        <v>66.023538678194953</v>
      </c>
      <c r="AA24" s="1">
        <v>67.12289905679151</v>
      </c>
      <c r="AB24" s="1">
        <v>69.146560578739127</v>
      </c>
      <c r="AC24" s="1">
        <v>71.991690610405129</v>
      </c>
      <c r="AD24" s="1">
        <v>75.550231253608189</v>
      </c>
      <c r="AE24" s="1">
        <v>79.709760432328366</v>
      </c>
      <c r="AF24" s="1">
        <v>84.354287778955694</v>
      </c>
      <c r="AG24" s="1">
        <v>89.365005048527351</v>
      </c>
      <c r="AH24" s="1">
        <v>94.621007682353053</v>
      </c>
      <c r="AI24" s="1">
        <f t="shared" si="3"/>
        <v>100</v>
      </c>
      <c r="AJ24" s="1">
        <f t="shared" si="4"/>
        <v>8</v>
      </c>
    </row>
    <row r="25" spans="1:36" x14ac:dyDescent="0.25">
      <c r="E25" s="5">
        <f t="shared" si="1"/>
        <v>2.0689655172413796E-2</v>
      </c>
      <c r="F25" s="1">
        <f t="shared" si="2"/>
        <v>300</v>
      </c>
      <c r="G25" s="1">
        <v>279.40209642870843</v>
      </c>
      <c r="H25" s="1">
        <v>258.99391849316766</v>
      </c>
      <c r="I25" s="1">
        <v>238.96136498496423</v>
      </c>
      <c r="J25" s="1">
        <v>219.4828266621802</v>
      </c>
      <c r="K25" s="1">
        <v>200.72578714782799</v>
      </c>
      <c r="L25" s="1">
        <v>182.84382467633617</v>
      </c>
      <c r="M25" s="1">
        <v>165.97410879073601</v>
      </c>
      <c r="N25" s="1">
        <v>150.23545646722388</v>
      </c>
      <c r="O25" s="1">
        <v>135.72697992113328</v>
      </c>
      <c r="P25" s="1">
        <v>122.52732603003517</v>
      </c>
      <c r="Q25" s="1">
        <v>110.69447729437968</v>
      </c>
      <c r="R25" s="1">
        <v>100.26605862700316</v>
      </c>
      <c r="S25" s="1">
        <v>91.260074614080153</v>
      </c>
      <c r="T25" s="1">
        <v>83.675989208907808</v>
      </c>
      <c r="U25" s="1">
        <v>77.496054433631599</v>
      </c>
      <c r="V25" s="1">
        <v>72.686796254163056</v>
      </c>
      <c r="W25" s="1">
        <v>69.200573471375122</v>
      </c>
      <c r="X25" s="1">
        <v>66.97713790419067</v>
      </c>
      <c r="Y25" s="1">
        <v>65.945139710683378</v>
      </c>
      <c r="Z25" s="1">
        <v>66.023538678194939</v>
      </c>
      <c r="AA25" s="1">
        <v>67.122899056791482</v>
      </c>
      <c r="AB25" s="1">
        <v>69.146560578739127</v>
      </c>
      <c r="AC25" s="1">
        <v>71.991690610405129</v>
      </c>
      <c r="AD25" s="1">
        <v>75.550231253608175</v>
      </c>
      <c r="AE25" s="1">
        <v>79.709760432328352</v>
      </c>
      <c r="AF25" s="1">
        <v>84.354287778955694</v>
      </c>
      <c r="AG25" s="1">
        <v>89.365005048527337</v>
      </c>
      <c r="AH25" s="1">
        <v>94.621007682353053</v>
      </c>
      <c r="AI25" s="1">
        <f t="shared" si="3"/>
        <v>100</v>
      </c>
      <c r="AJ25" s="1">
        <f t="shared" si="4"/>
        <v>7</v>
      </c>
    </row>
    <row r="26" spans="1:36" x14ac:dyDescent="0.25">
      <c r="E26" s="5">
        <f t="shared" si="1"/>
        <v>1.7241379310344831E-2</v>
      </c>
      <c r="F26" s="1">
        <f t="shared" si="2"/>
        <v>300</v>
      </c>
      <c r="G26" s="1">
        <v>279.40209642870843</v>
      </c>
      <c r="H26" s="1">
        <v>258.99391849316771</v>
      </c>
      <c r="I26" s="1">
        <v>238.96136498496423</v>
      </c>
      <c r="J26" s="1">
        <v>219.4828266621802</v>
      </c>
      <c r="K26" s="1">
        <v>200.72578714782802</v>
      </c>
      <c r="L26" s="1">
        <v>182.84382467633617</v>
      </c>
      <c r="M26" s="1">
        <v>165.97410879073601</v>
      </c>
      <c r="N26" s="1">
        <v>150.23545646722388</v>
      </c>
      <c r="O26" s="1">
        <v>135.72697992113328</v>
      </c>
      <c r="P26" s="1">
        <v>122.52732603003517</v>
      </c>
      <c r="Q26" s="1">
        <v>110.69447729437968</v>
      </c>
      <c r="R26" s="1">
        <v>100.26605862700316</v>
      </c>
      <c r="S26" s="1">
        <v>91.260074614080153</v>
      </c>
      <c r="T26" s="1">
        <v>83.675989208907822</v>
      </c>
      <c r="U26" s="1">
        <v>77.496054433631599</v>
      </c>
      <c r="V26" s="1">
        <v>72.686796254163056</v>
      </c>
      <c r="W26" s="1">
        <v>69.200573471375122</v>
      </c>
      <c r="X26" s="1">
        <v>66.977137904190684</v>
      </c>
      <c r="Y26" s="1">
        <v>65.945139710683378</v>
      </c>
      <c r="Z26" s="1">
        <v>66.023538678194939</v>
      </c>
      <c r="AA26" s="1">
        <v>67.122899056791496</v>
      </c>
      <c r="AB26" s="1">
        <v>69.146560578739127</v>
      </c>
      <c r="AC26" s="1">
        <v>71.991690610405129</v>
      </c>
      <c r="AD26" s="1">
        <v>75.550231253608175</v>
      </c>
      <c r="AE26" s="1">
        <v>79.709760432328352</v>
      </c>
      <c r="AF26" s="1">
        <v>84.354287778955694</v>
      </c>
      <c r="AG26" s="1">
        <v>89.365005048527351</v>
      </c>
      <c r="AH26" s="1">
        <v>94.621007682353053</v>
      </c>
      <c r="AI26" s="1">
        <f t="shared" si="3"/>
        <v>100</v>
      </c>
      <c r="AJ26" s="1">
        <f t="shared" si="4"/>
        <v>6</v>
      </c>
    </row>
    <row r="27" spans="1:36" x14ac:dyDescent="0.25">
      <c r="E27" s="5">
        <f t="shared" si="1"/>
        <v>1.3793103448275864E-2</v>
      </c>
      <c r="F27" s="1">
        <f t="shared" ref="F27:F31" si="5">$C$13</f>
        <v>300</v>
      </c>
      <c r="G27" s="1">
        <v>279.40209642870849</v>
      </c>
      <c r="H27" s="1">
        <v>258.99391849316771</v>
      </c>
      <c r="I27" s="1">
        <v>238.96136498496426</v>
      </c>
      <c r="J27" s="1">
        <v>219.48282666218017</v>
      </c>
      <c r="K27" s="1">
        <v>200.72578714782802</v>
      </c>
      <c r="L27" s="1">
        <v>182.84382467633617</v>
      </c>
      <c r="M27" s="1">
        <v>165.97410879073601</v>
      </c>
      <c r="N27" s="1">
        <v>150.23545646722388</v>
      </c>
      <c r="O27" s="1">
        <v>135.72697992113331</v>
      </c>
      <c r="P27" s="1">
        <v>122.52732603003518</v>
      </c>
      <c r="Q27" s="1">
        <v>110.69447729437969</v>
      </c>
      <c r="R27" s="1">
        <v>100.26605862700316</v>
      </c>
      <c r="S27" s="1">
        <v>91.260074614080168</v>
      </c>
      <c r="T27" s="1">
        <v>83.675989208907822</v>
      </c>
      <c r="U27" s="1">
        <v>77.496054433631599</v>
      </c>
      <c r="V27" s="1">
        <v>72.68679625416307</v>
      </c>
      <c r="W27" s="1">
        <v>69.200573471375122</v>
      </c>
      <c r="X27" s="1">
        <v>66.977137904190684</v>
      </c>
      <c r="Y27" s="1">
        <v>65.945139710683378</v>
      </c>
      <c r="Z27" s="1">
        <v>66.023538678194953</v>
      </c>
      <c r="AA27" s="1">
        <v>67.122899056791496</v>
      </c>
      <c r="AB27" s="1">
        <v>69.146560578739127</v>
      </c>
      <c r="AC27" s="1">
        <v>71.991690610405129</v>
      </c>
      <c r="AD27" s="1">
        <v>75.550231253608175</v>
      </c>
      <c r="AE27" s="1">
        <v>79.709760432328352</v>
      </c>
      <c r="AF27" s="1">
        <v>84.354287778955694</v>
      </c>
      <c r="AG27" s="1">
        <v>89.365005048527351</v>
      </c>
      <c r="AH27" s="1">
        <v>94.621007682353053</v>
      </c>
      <c r="AI27" s="1">
        <f t="shared" si="3"/>
        <v>100</v>
      </c>
      <c r="AJ27" s="1">
        <f t="shared" si="4"/>
        <v>5</v>
      </c>
    </row>
    <row r="28" spans="1:36" x14ac:dyDescent="0.25">
      <c r="E28" s="5">
        <f t="shared" si="1"/>
        <v>1.0344827586206898E-2</v>
      </c>
      <c r="F28" s="1">
        <f t="shared" si="5"/>
        <v>300</v>
      </c>
      <c r="G28" s="1">
        <v>279.40209642870855</v>
      </c>
      <c r="H28" s="1">
        <v>258.99391849316783</v>
      </c>
      <c r="I28" s="1">
        <v>238.96136498496429</v>
      </c>
      <c r="J28" s="1">
        <v>219.48282666218023</v>
      </c>
      <c r="K28" s="1">
        <v>200.72578714782804</v>
      </c>
      <c r="L28" s="1">
        <v>182.84382467633617</v>
      </c>
      <c r="M28" s="1">
        <v>165.97410879073607</v>
      </c>
      <c r="N28" s="1">
        <v>150.23545646722391</v>
      </c>
      <c r="O28" s="1">
        <v>135.72697992113331</v>
      </c>
      <c r="P28" s="1">
        <v>122.52732603003521</v>
      </c>
      <c r="Q28" s="1">
        <v>110.69447729437971</v>
      </c>
      <c r="R28" s="1">
        <v>100.26605862700316</v>
      </c>
      <c r="S28" s="1">
        <v>91.260074614080168</v>
      </c>
      <c r="T28" s="1">
        <v>83.675989208907822</v>
      </c>
      <c r="U28" s="1">
        <v>77.496054433631599</v>
      </c>
      <c r="V28" s="1">
        <v>72.686796254163085</v>
      </c>
      <c r="W28" s="1">
        <v>69.200573471375122</v>
      </c>
      <c r="X28" s="1">
        <v>66.977137904190684</v>
      </c>
      <c r="Y28" s="1">
        <v>65.945139710683392</v>
      </c>
      <c r="Z28" s="1">
        <v>66.023538678194967</v>
      </c>
      <c r="AA28" s="1">
        <v>67.12289905679151</v>
      </c>
      <c r="AB28" s="1">
        <v>69.146560578739127</v>
      </c>
      <c r="AC28" s="1">
        <v>71.991690610405129</v>
      </c>
      <c r="AD28" s="1">
        <v>75.550231253608189</v>
      </c>
      <c r="AE28" s="1">
        <v>79.709760432328352</v>
      </c>
      <c r="AF28" s="1">
        <v>84.354287778955708</v>
      </c>
      <c r="AG28" s="1">
        <v>89.365005048527365</v>
      </c>
      <c r="AH28" s="1">
        <v>94.621007682353053</v>
      </c>
      <c r="AI28" s="1">
        <f t="shared" si="3"/>
        <v>100</v>
      </c>
      <c r="AJ28" s="1">
        <f t="shared" si="4"/>
        <v>4</v>
      </c>
    </row>
    <row r="29" spans="1:36" x14ac:dyDescent="0.25">
      <c r="E29" s="5">
        <f t="shared" si="1"/>
        <v>6.8965517241379318E-3</v>
      </c>
      <c r="F29" s="1">
        <f t="shared" si="5"/>
        <v>300</v>
      </c>
      <c r="G29" s="1">
        <v>279.40209642870855</v>
      </c>
      <c r="H29" s="1">
        <v>258.99391849316783</v>
      </c>
      <c r="I29" s="1">
        <v>238.96136498496429</v>
      </c>
      <c r="J29" s="1">
        <v>219.48282666218023</v>
      </c>
      <c r="K29" s="1">
        <v>200.72578714782804</v>
      </c>
      <c r="L29" s="1">
        <v>182.84382467633617</v>
      </c>
      <c r="M29" s="1">
        <v>165.97410879073607</v>
      </c>
      <c r="N29" s="1">
        <v>150.23545646722391</v>
      </c>
      <c r="O29" s="1">
        <v>135.72697992113331</v>
      </c>
      <c r="P29" s="1">
        <v>122.5273260300352</v>
      </c>
      <c r="Q29" s="1">
        <v>110.69447729437971</v>
      </c>
      <c r="R29" s="1">
        <v>100.26605862700316</v>
      </c>
      <c r="S29" s="1">
        <v>91.260074614080168</v>
      </c>
      <c r="T29" s="1">
        <v>83.675989208907822</v>
      </c>
      <c r="U29" s="1">
        <v>77.496054433631599</v>
      </c>
      <c r="V29" s="1">
        <v>72.686796254163085</v>
      </c>
      <c r="W29" s="1">
        <v>69.200573471375122</v>
      </c>
      <c r="X29" s="1">
        <v>66.977137904190684</v>
      </c>
      <c r="Y29" s="1">
        <v>65.945139710683392</v>
      </c>
      <c r="Z29" s="1">
        <v>66.023538678194967</v>
      </c>
      <c r="AA29" s="1">
        <v>67.12289905679151</v>
      </c>
      <c r="AB29" s="1">
        <v>69.146560578739127</v>
      </c>
      <c r="AC29" s="1">
        <v>71.991690610405129</v>
      </c>
      <c r="AD29" s="1">
        <v>75.550231253608189</v>
      </c>
      <c r="AE29" s="1">
        <v>79.709760432328352</v>
      </c>
      <c r="AF29" s="1">
        <v>84.354287778955694</v>
      </c>
      <c r="AG29" s="1">
        <v>89.365005048527365</v>
      </c>
      <c r="AH29" s="1">
        <v>94.621007682353053</v>
      </c>
      <c r="AI29" s="1">
        <f t="shared" si="3"/>
        <v>100</v>
      </c>
      <c r="AJ29" s="1">
        <f t="shared" si="4"/>
        <v>3</v>
      </c>
    </row>
    <row r="30" spans="1:36" x14ac:dyDescent="0.25">
      <c r="E30" s="5">
        <f>E31+$C$4</f>
        <v>3.4482758620689659E-3</v>
      </c>
      <c r="F30" s="1">
        <f t="shared" si="5"/>
        <v>300</v>
      </c>
      <c r="G30" s="1">
        <v>279.40209642870855</v>
      </c>
      <c r="H30" s="1">
        <v>258.99391849316783</v>
      </c>
      <c r="I30" s="1">
        <v>238.96136498496429</v>
      </c>
      <c r="J30" s="1">
        <v>219.48282666218023</v>
      </c>
      <c r="K30" s="1">
        <v>200.72578714782804</v>
      </c>
      <c r="L30" s="1">
        <v>182.84382467633617</v>
      </c>
      <c r="M30" s="1">
        <v>165.97410879073607</v>
      </c>
      <c r="N30" s="1">
        <v>150.23545646722391</v>
      </c>
      <c r="O30" s="1">
        <v>135.72697992113331</v>
      </c>
      <c r="P30" s="1">
        <v>122.5273260300352</v>
      </c>
      <c r="Q30" s="1">
        <v>110.69447729437971</v>
      </c>
      <c r="R30" s="1">
        <v>100.26605862700316</v>
      </c>
      <c r="S30" s="1">
        <v>91.260074614080168</v>
      </c>
      <c r="T30" s="1">
        <v>83.675989208907822</v>
      </c>
      <c r="U30" s="1">
        <v>77.496054433631599</v>
      </c>
      <c r="V30" s="1">
        <v>72.686796254163085</v>
      </c>
      <c r="W30" s="1">
        <v>69.200573471375122</v>
      </c>
      <c r="X30" s="1">
        <v>66.977137904190684</v>
      </c>
      <c r="Y30" s="1">
        <v>65.945139710683407</v>
      </c>
      <c r="Z30" s="1">
        <v>66.023538678194967</v>
      </c>
      <c r="AA30" s="1">
        <v>67.12289905679151</v>
      </c>
      <c r="AB30" s="1">
        <v>69.146560578739127</v>
      </c>
      <c r="AC30" s="1">
        <v>71.991690610405129</v>
      </c>
      <c r="AD30" s="1">
        <v>75.550231253608189</v>
      </c>
      <c r="AE30" s="1">
        <v>79.709760432328352</v>
      </c>
      <c r="AF30" s="1">
        <v>84.354287778955694</v>
      </c>
      <c r="AG30" s="1">
        <v>89.365005048527365</v>
      </c>
      <c r="AH30" s="1">
        <v>94.621007682353053</v>
      </c>
      <c r="AI30" s="1">
        <f t="shared" si="3"/>
        <v>100</v>
      </c>
      <c r="AJ30" s="1">
        <f>AJ31+1</f>
        <v>2</v>
      </c>
    </row>
    <row r="31" spans="1:36" x14ac:dyDescent="0.25">
      <c r="E31" s="2">
        <v>0</v>
      </c>
      <c r="F31" s="1">
        <f t="shared" si="5"/>
        <v>300</v>
      </c>
      <c r="G31" s="1">
        <v>279.40209642870855</v>
      </c>
      <c r="H31" s="1">
        <v>258.99391849316783</v>
      </c>
      <c r="I31" s="1">
        <v>238.96136498496429</v>
      </c>
      <c r="J31" s="1">
        <v>219.48282666218023</v>
      </c>
      <c r="K31" s="1">
        <v>200.72578714782804</v>
      </c>
      <c r="L31" s="1">
        <v>182.84382467633617</v>
      </c>
      <c r="M31" s="1">
        <v>165.97410879073607</v>
      </c>
      <c r="N31" s="1">
        <v>150.23545646722391</v>
      </c>
      <c r="O31" s="1">
        <v>135.72697992113331</v>
      </c>
      <c r="P31" s="1">
        <v>122.5273260300352</v>
      </c>
      <c r="Q31" s="1">
        <v>110.69447729437971</v>
      </c>
      <c r="R31" s="1">
        <v>100.26605862700316</v>
      </c>
      <c r="S31" s="1">
        <v>91.260074614080168</v>
      </c>
      <c r="T31" s="1">
        <v>83.675989208907822</v>
      </c>
      <c r="U31" s="1">
        <v>77.496054433631599</v>
      </c>
      <c r="V31" s="1">
        <v>72.686796254163085</v>
      </c>
      <c r="W31" s="1">
        <v>69.200573471375122</v>
      </c>
      <c r="X31" s="1">
        <v>66.977137904190684</v>
      </c>
      <c r="Y31" s="1">
        <v>65.945139710683407</v>
      </c>
      <c r="Z31" s="1">
        <v>66.023538678194967</v>
      </c>
      <c r="AA31" s="1">
        <v>67.12289905679151</v>
      </c>
      <c r="AB31" s="1">
        <v>69.146560578739127</v>
      </c>
      <c r="AC31" s="1">
        <v>71.991690610405129</v>
      </c>
      <c r="AD31" s="1">
        <v>75.550231253608189</v>
      </c>
      <c r="AE31" s="1">
        <v>79.709760432328352</v>
      </c>
      <c r="AF31" s="1">
        <v>84.354287778955694</v>
      </c>
      <c r="AG31" s="1">
        <v>89.365005048527365</v>
      </c>
      <c r="AH31" s="1">
        <v>94.621007682353053</v>
      </c>
      <c r="AI31" s="1">
        <f t="shared" si="3"/>
        <v>100</v>
      </c>
      <c r="AJ31" s="1">
        <v>1</v>
      </c>
    </row>
    <row r="32" spans="1:36" x14ac:dyDescent="0.25">
      <c r="F32" s="12">
        <v>0</v>
      </c>
      <c r="G32" s="12">
        <f>F32+$C$5</f>
        <v>3.4482758620689659E-3</v>
      </c>
      <c r="H32" s="12">
        <f t="shared" ref="H32:AI32" si="6">G32+$C$5</f>
        <v>6.8965517241379318E-3</v>
      </c>
      <c r="I32" s="12">
        <f t="shared" si="6"/>
        <v>1.0344827586206898E-2</v>
      </c>
      <c r="J32" s="12">
        <f t="shared" si="6"/>
        <v>1.3793103448275864E-2</v>
      </c>
      <c r="K32" s="12">
        <f t="shared" si="6"/>
        <v>1.7241379310344831E-2</v>
      </c>
      <c r="L32" s="12">
        <f t="shared" si="6"/>
        <v>2.0689655172413796E-2</v>
      </c>
      <c r="M32" s="12">
        <f t="shared" si="6"/>
        <v>2.4137931034482762E-2</v>
      </c>
      <c r="N32" s="12">
        <f t="shared" si="6"/>
        <v>2.7586206896551727E-2</v>
      </c>
      <c r="O32" s="12">
        <f t="shared" si="6"/>
        <v>3.1034482758620693E-2</v>
      </c>
      <c r="P32" s="12">
        <f t="shared" si="6"/>
        <v>3.4482758620689662E-2</v>
      </c>
      <c r="Q32" s="12">
        <f t="shared" si="6"/>
        <v>3.7931034482758627E-2</v>
      </c>
      <c r="R32" s="12">
        <f t="shared" si="6"/>
        <v>4.1379310344827593E-2</v>
      </c>
      <c r="S32" s="12">
        <f t="shared" si="6"/>
        <v>4.4827586206896558E-2</v>
      </c>
      <c r="T32" s="12">
        <f t="shared" si="6"/>
        <v>4.8275862068965524E-2</v>
      </c>
      <c r="U32" s="12">
        <f t="shared" si="6"/>
        <v>5.1724137931034489E-2</v>
      </c>
      <c r="V32" s="12">
        <f t="shared" si="6"/>
        <v>5.5172413793103454E-2</v>
      </c>
      <c r="W32" s="12">
        <f t="shared" si="6"/>
        <v>5.862068965517242E-2</v>
      </c>
      <c r="X32" s="12">
        <f t="shared" si="6"/>
        <v>6.2068965517241385E-2</v>
      </c>
      <c r="Y32" s="12">
        <f t="shared" si="6"/>
        <v>6.5517241379310351E-2</v>
      </c>
      <c r="Z32" s="12">
        <f t="shared" si="6"/>
        <v>6.8965517241379323E-2</v>
      </c>
      <c r="AA32" s="12">
        <f t="shared" si="6"/>
        <v>7.2413793103448296E-2</v>
      </c>
      <c r="AB32" s="12">
        <f t="shared" si="6"/>
        <v>7.5862068965517268E-2</v>
      </c>
      <c r="AC32" s="12">
        <f t="shared" si="6"/>
        <v>7.931034482758624E-2</v>
      </c>
      <c r="AD32" s="12">
        <f t="shared" si="6"/>
        <v>8.2758620689655213E-2</v>
      </c>
      <c r="AE32" s="12">
        <f t="shared" si="6"/>
        <v>8.6206896551724185E-2</v>
      </c>
      <c r="AF32" s="12">
        <f t="shared" si="6"/>
        <v>8.9655172413793158E-2</v>
      </c>
      <c r="AG32" s="12">
        <f t="shared" si="6"/>
        <v>9.310344827586213E-2</v>
      </c>
      <c r="AH32" s="12">
        <f t="shared" si="6"/>
        <v>9.6551724137931103E-2</v>
      </c>
      <c r="AI32" s="12">
        <f t="shared" si="6"/>
        <v>0.10000000000000007</v>
      </c>
    </row>
    <row r="33" spans="5:131" x14ac:dyDescent="0.25">
      <c r="E33" s="19" t="s">
        <v>15</v>
      </c>
      <c r="F33" s="1">
        <v>300</v>
      </c>
      <c r="G33" s="6">
        <f t="shared" ref="G33:AG42" si="7">BS33*H33+CY33</f>
        <v>279.60238189843886</v>
      </c>
      <c r="H33" s="6">
        <f t="shared" si="7"/>
        <v>259.39052202088459</v>
      </c>
      <c r="I33" s="6">
        <f t="shared" si="7"/>
        <v>239.54649894668262</v>
      </c>
      <c r="J33" s="6">
        <f t="shared" si="7"/>
        <v>220.24516848858121</v>
      </c>
      <c r="K33" s="6">
        <f t="shared" si="7"/>
        <v>201.65088514652382</v>
      </c>
      <c r="L33" s="6">
        <f t="shared" si="7"/>
        <v>183.91459994832243</v>
      </c>
      <c r="M33" s="6">
        <f t="shared" si="7"/>
        <v>167.17142380142838</v>
      </c>
      <c r="N33" s="6">
        <f t="shared" si="7"/>
        <v>151.53871817574745</v>
      </c>
      <c r="O33" s="6">
        <f t="shared" si="7"/>
        <v>137.11474516914919</v>
      </c>
      <c r="P33" s="6">
        <f t="shared" si="7"/>
        <v>123.97787905131733</v>
      </c>
      <c r="Q33" s="6">
        <f t="shared" si="7"/>
        <v>112.18635342884832</v>
      </c>
      <c r="R33" s="6">
        <f t="shared" si="7"/>
        <v>101.77849413799117</v>
      </c>
      <c r="S33" s="6">
        <f t="shared" si="7"/>
        <v>92.773369328193212</v>
      </c>
      <c r="T33" s="6">
        <f t="shared" si="7"/>
        <v>85.171775882257649</v>
      </c>
      <c r="U33" s="6">
        <f t="shared" si="7"/>
        <v>78.957475664874991</v>
      </c>
      <c r="V33" s="6">
        <f t="shared" si="7"/>
        <v>74.098595852212839</v>
      </c>
      <c r="W33" s="6">
        <f t="shared" si="7"/>
        <v>70.549114002070169</v>
      </c>
      <c r="X33" s="6">
        <f t="shared" si="7"/>
        <v>68.250359397994316</v>
      </c>
      <c r="Y33" s="6">
        <f t="shared" si="7"/>
        <v>67.132476096138333</v>
      </c>
      <c r="Z33" s="6">
        <f t="shared" si="7"/>
        <v>67.115808466880353</v>
      </c>
      <c r="AA33" s="6">
        <f t="shared" si="7"/>
        <v>68.112185350315173</v>
      </c>
      <c r="AB33" s="6">
        <f t="shared" si="7"/>
        <v>70.026092922154888</v>
      </c>
      <c r="AC33" s="6">
        <f t="shared" si="7"/>
        <v>72.755737982537227</v>
      </c>
      <c r="AD33" s="6">
        <f t="shared" si="7"/>
        <v>76.194011996859032</v>
      </c>
      <c r="AE33" s="6">
        <f t="shared" si="7"/>
        <v>80.229371599451554</v>
      </c>
      <c r="AF33" s="6">
        <f t="shared" si="7"/>
        <v>84.746653568698207</v>
      </c>
      <c r="AG33" s="6">
        <f t="shared" si="7"/>
        <v>89.627841977896324</v>
      </c>
      <c r="AH33" s="6">
        <f>CT33*AI33+DZ33</f>
        <v>94.752803044535398</v>
      </c>
      <c r="AI33" s="1">
        <v>100</v>
      </c>
      <c r="AJ33" s="3"/>
      <c r="AK33" s="18" t="s">
        <v>14</v>
      </c>
      <c r="AL33" s="14">
        <f>-($C$10*$C$9*F2)/($C$7)</f>
        <v>-1076400000</v>
      </c>
      <c r="AM33" s="14">
        <f t="shared" ref="AM33:BO41" si="8">-($C$10*$C$9*G2)/($C$7)</f>
        <v>-1002494721.9862058</v>
      </c>
      <c r="AN33" s="14">
        <f t="shared" si="8"/>
        <v>-929270179.55348516</v>
      </c>
      <c r="AO33" s="14">
        <f t="shared" si="8"/>
        <v>-857393377.56605101</v>
      </c>
      <c r="AP33" s="14">
        <f t="shared" si="8"/>
        <v>-787504382.06390166</v>
      </c>
      <c r="AQ33" s="14">
        <f t="shared" si="8"/>
        <v>-720204124.28640604</v>
      </c>
      <c r="AR33" s="14">
        <f t="shared" si="8"/>
        <v>-656043642.9386934</v>
      </c>
      <c r="AS33" s="14">
        <f t="shared" si="8"/>
        <v>-595515102.34116018</v>
      </c>
      <c r="AT33" s="14">
        <f t="shared" si="8"/>
        <v>-539044817.80439854</v>
      </c>
      <c r="AU33" s="14">
        <f t="shared" si="8"/>
        <v>-486988403.95702571</v>
      </c>
      <c r="AV33" s="14">
        <f t="shared" si="8"/>
        <v>-439628045.79576576</v>
      </c>
      <c r="AW33" s="14">
        <f t="shared" si="8"/>
        <v>-397171784.53223389</v>
      </c>
      <c r="AX33" s="14">
        <f t="shared" si="8"/>
        <v>-359754618.35368681</v>
      </c>
      <c r="AY33" s="14">
        <f t="shared" si="8"/>
        <v>-327441147.71531916</v>
      </c>
      <c r="AZ33" s="14">
        <f t="shared" si="8"/>
        <v>-300229449.28156084</v>
      </c>
      <c r="BA33" s="14">
        <f t="shared" si="8"/>
        <v>-278055843.30786979</v>
      </c>
      <c r="BB33" s="14">
        <f t="shared" si="8"/>
        <v>-260800224.9599368</v>
      </c>
      <c r="BC33" s="14">
        <f t="shared" si="8"/>
        <v>-248291657.61529362</v>
      </c>
      <c r="BD33" s="14">
        <f t="shared" si="8"/>
        <v>-240313970.80023578</v>
      </c>
      <c r="BE33" s="14">
        <f t="shared" si="8"/>
        <v>-236611161.2819317</v>
      </c>
      <c r="BF33" s="14">
        <f t="shared" si="8"/>
        <v>-236892456.77736324</v>
      </c>
      <c r="BG33" s="14">
        <f t="shared" si="8"/>
        <v>-240836961.81576768</v>
      </c>
      <c r="BH33" s="14">
        <f t="shared" si="8"/>
        <v>-248097859.35651574</v>
      </c>
      <c r="BI33" s="14">
        <f t="shared" si="8"/>
        <v>-258306185.91013339</v>
      </c>
      <c r="BJ33" s="14">
        <f t="shared" si="8"/>
        <v>-271074229.73794615</v>
      </c>
      <c r="BK33" s="14">
        <f t="shared" si="8"/>
        <v>-285998620.43119395</v>
      </c>
      <c r="BL33" s="14">
        <f t="shared" si="8"/>
        <v>-302663184.55089301</v>
      </c>
      <c r="BM33" s="14">
        <f t="shared" si="8"/>
        <v>-320641638.11411601</v>
      </c>
      <c r="BN33" s="14">
        <f t="shared" si="8"/>
        <v>-339500175.56428272</v>
      </c>
      <c r="BO33" s="14">
        <f t="shared" si="8"/>
        <v>-358800000</v>
      </c>
      <c r="BQ33" s="20" t="s">
        <v>16</v>
      </c>
      <c r="BR33" s="1">
        <v>0</v>
      </c>
      <c r="BS33" s="14">
        <f>$C$16/($C$17-$C$18*BR33)</f>
        <v>0.3415922014622258</v>
      </c>
      <c r="BT33" s="14">
        <f t="shared" ref="BT33:CU33" si="9">$C$16/($C$17-$C$18*BS33)</f>
        <v>0.3867162803971414</v>
      </c>
      <c r="BU33" s="14">
        <f t="shared" si="9"/>
        <v>0.39358441341045353</v>
      </c>
      <c r="BV33" s="14">
        <f t="shared" si="9"/>
        <v>0.39465123071155611</v>
      </c>
      <c r="BW33" s="14">
        <f t="shared" si="9"/>
        <v>0.39481745705771337</v>
      </c>
      <c r="BX33" s="14">
        <f t="shared" si="9"/>
        <v>0.39484337025824801</v>
      </c>
      <c r="BY33" s="14">
        <f t="shared" si="9"/>
        <v>0.39484741020089792</v>
      </c>
      <c r="BZ33" s="14">
        <f t="shared" si="9"/>
        <v>0.39484804004704999</v>
      </c>
      <c r="CA33" s="14">
        <f t="shared" si="9"/>
        <v>0.39484813824322279</v>
      </c>
      <c r="CB33" s="14">
        <f t="shared" si="9"/>
        <v>0.39484815355250286</v>
      </c>
      <c r="CC33" s="14">
        <f t="shared" si="9"/>
        <v>0.39484815593929717</v>
      </c>
      <c r="CD33" s="14">
        <f t="shared" si="9"/>
        <v>0.39484815631141046</v>
      </c>
      <c r="CE33" s="14">
        <f t="shared" si="9"/>
        <v>0.39484815636942483</v>
      </c>
      <c r="CF33" s="14">
        <f t="shared" si="9"/>
        <v>0.39484815637846954</v>
      </c>
      <c r="CG33" s="14">
        <f t="shared" si="9"/>
        <v>0.39484815637987963</v>
      </c>
      <c r="CH33" s="14">
        <f t="shared" si="9"/>
        <v>0.39484815638009951</v>
      </c>
      <c r="CI33" s="14">
        <f t="shared" si="9"/>
        <v>0.39484815638013382</v>
      </c>
      <c r="CJ33" s="14">
        <f t="shared" si="9"/>
        <v>0.39484815638013915</v>
      </c>
      <c r="CK33" s="14">
        <f t="shared" si="9"/>
        <v>0.39484815638013998</v>
      </c>
      <c r="CL33" s="14">
        <f t="shared" si="9"/>
        <v>0.39484815638014015</v>
      </c>
      <c r="CM33" s="14">
        <f t="shared" si="9"/>
        <v>0.39484815638014015</v>
      </c>
      <c r="CN33" s="14">
        <f t="shared" si="9"/>
        <v>0.39484815638014015</v>
      </c>
      <c r="CO33" s="14">
        <f t="shared" si="9"/>
        <v>0.39484815638014015</v>
      </c>
      <c r="CP33" s="14">
        <f t="shared" si="9"/>
        <v>0.39484815638014015</v>
      </c>
      <c r="CQ33" s="14">
        <f t="shared" si="9"/>
        <v>0.39484815638014015</v>
      </c>
      <c r="CR33" s="14">
        <f t="shared" si="9"/>
        <v>0.39484815638014015</v>
      </c>
      <c r="CS33" s="14">
        <f t="shared" si="9"/>
        <v>0.39484815638014015</v>
      </c>
      <c r="CT33" s="14">
        <f t="shared" si="9"/>
        <v>0.39484815638014015</v>
      </c>
      <c r="CU33" s="14">
        <f t="shared" si="9"/>
        <v>0.39484815638014015</v>
      </c>
      <c r="CW33" s="22" t="s">
        <v>17</v>
      </c>
      <c r="CX33" s="1">
        <f>F33</f>
        <v>300</v>
      </c>
      <c r="CY33" s="14">
        <f>($C$18*CX33-AM33)/($C$17-$C$18*BR33)</f>
        <v>190.99660244288896</v>
      </c>
      <c r="CZ33" s="14">
        <f t="shared" ref="CZ33:EA42" si="10">($C$18*CY33-AN33)/($C$17-$C$18*BS33)</f>
        <v>166.75399096606574</v>
      </c>
      <c r="DA33" s="14">
        <f t="shared" si="10"/>
        <v>152.86143350061789</v>
      </c>
      <c r="DB33" s="14">
        <f t="shared" si="10"/>
        <v>140.66339849143094</v>
      </c>
      <c r="DC33" s="14">
        <f t="shared" si="10"/>
        <v>129.0381904791405</v>
      </c>
      <c r="DD33" s="14">
        <f t="shared" si="10"/>
        <v>117.90807156369655</v>
      </c>
      <c r="DE33" s="14">
        <f t="shared" si="10"/>
        <v>107.33675338457077</v>
      </c>
      <c r="DF33" s="14">
        <f t="shared" si="10"/>
        <v>97.39922978415818</v>
      </c>
      <c r="DG33" s="14">
        <f t="shared" si="10"/>
        <v>88.162310442393093</v>
      </c>
      <c r="DH33" s="14">
        <f t="shared" si="10"/>
        <v>79.68130454614807</v>
      </c>
      <c r="DI33" s="14">
        <f t="shared" si="10"/>
        <v>71.999302704183933</v>
      </c>
      <c r="DJ33" s="14">
        <f t="shared" si="10"/>
        <v>65.14710030395652</v>
      </c>
      <c r="DK33" s="14">
        <f t="shared" si="10"/>
        <v>59.143450646373928</v>
      </c>
      <c r="DL33" s="14">
        <f t="shared" si="10"/>
        <v>53.995562183683887</v>
      </c>
      <c r="DM33" s="14">
        <f t="shared" si="10"/>
        <v>49.699781702290956</v>
      </c>
      <c r="DN33" s="14">
        <f t="shared" si="10"/>
        <v>46.242408254245966</v>
      </c>
      <c r="DO33" s="14">
        <f t="shared" si="10"/>
        <v>43.600585421490571</v>
      </c>
      <c r="DP33" s="14">
        <f t="shared" si="10"/>
        <v>41.743224978200331</v>
      </c>
      <c r="DQ33" s="14">
        <f t="shared" si="10"/>
        <v>40.63192285902803</v>
      </c>
      <c r="DR33" s="14">
        <f t="shared" si="10"/>
        <v>40.221837654286013</v>
      </c>
      <c r="DS33" s="14">
        <f t="shared" si="10"/>
        <v>40.462511661497935</v>
      </c>
      <c r="DT33" s="14">
        <f t="shared" si="10"/>
        <v>41.298623913673524</v>
      </c>
      <c r="DU33" s="14">
        <f t="shared" si="10"/>
        <v>42.670672818371159</v>
      </c>
      <c r="DV33" s="14">
        <f t="shared" si="10"/>
        <v>44.515592533278415</v>
      </c>
      <c r="DW33" s="14">
        <f t="shared" si="10"/>
        <v>46.767311678464637</v>
      </c>
      <c r="DX33" s="14">
        <f t="shared" si="10"/>
        <v>49.35726540339531</v>
      </c>
      <c r="DY33" s="14">
        <f t="shared" si="10"/>
        <v>52.214872383910993</v>
      </c>
      <c r="DZ33" s="14">
        <f t="shared" si="10"/>
        <v>55.267987406521392</v>
      </c>
      <c r="EA33" s="14">
        <f t="shared" si="10"/>
        <v>58.443338317957306</v>
      </c>
    </row>
    <row r="34" spans="5:131" x14ac:dyDescent="0.25">
      <c r="E34" s="19"/>
      <c r="F34" s="1">
        <v>300</v>
      </c>
      <c r="G34" s="6">
        <f t="shared" si="7"/>
        <v>279.60238189843886</v>
      </c>
      <c r="H34" s="6">
        <f t="shared" si="7"/>
        <v>259.39052202088459</v>
      </c>
      <c r="I34" s="6">
        <f t="shared" si="7"/>
        <v>239.54649894668262</v>
      </c>
      <c r="J34" s="6">
        <f t="shared" si="7"/>
        <v>220.24516848858121</v>
      </c>
      <c r="K34" s="6">
        <f t="shared" si="7"/>
        <v>201.65088514652382</v>
      </c>
      <c r="L34" s="6">
        <f t="shared" si="7"/>
        <v>183.91459994832243</v>
      </c>
      <c r="M34" s="6">
        <f t="shared" si="7"/>
        <v>167.17142380142838</v>
      </c>
      <c r="N34" s="6">
        <f t="shared" si="7"/>
        <v>151.53871817574745</v>
      </c>
      <c r="O34" s="6">
        <f t="shared" si="7"/>
        <v>137.11474516914919</v>
      </c>
      <c r="P34" s="6">
        <f t="shared" si="7"/>
        <v>123.97787905131733</v>
      </c>
      <c r="Q34" s="6">
        <f t="shared" si="7"/>
        <v>112.18635342884832</v>
      </c>
      <c r="R34" s="6">
        <f t="shared" si="7"/>
        <v>101.77849413799117</v>
      </c>
      <c r="S34" s="6">
        <f t="shared" si="7"/>
        <v>92.773369328193212</v>
      </c>
      <c r="T34" s="6">
        <f t="shared" si="7"/>
        <v>85.171775882257649</v>
      </c>
      <c r="U34" s="6">
        <f t="shared" si="7"/>
        <v>78.957475664874991</v>
      </c>
      <c r="V34" s="6">
        <f t="shared" si="7"/>
        <v>74.098595852212839</v>
      </c>
      <c r="W34" s="6">
        <f t="shared" si="7"/>
        <v>70.549114002070169</v>
      </c>
      <c r="X34" s="6">
        <f t="shared" si="7"/>
        <v>68.250359397994316</v>
      </c>
      <c r="Y34" s="6">
        <f t="shared" si="7"/>
        <v>67.132476096138333</v>
      </c>
      <c r="Z34" s="6">
        <f t="shared" si="7"/>
        <v>67.115808466880353</v>
      </c>
      <c r="AA34" s="6">
        <f t="shared" si="7"/>
        <v>68.112185350315173</v>
      </c>
      <c r="AB34" s="6">
        <f t="shared" si="7"/>
        <v>70.026092922154888</v>
      </c>
      <c r="AC34" s="6">
        <f t="shared" si="7"/>
        <v>72.755737982537227</v>
      </c>
      <c r="AD34" s="6">
        <f t="shared" si="7"/>
        <v>76.194011996859032</v>
      </c>
      <c r="AE34" s="6">
        <f t="shared" si="7"/>
        <v>80.229371599451554</v>
      </c>
      <c r="AF34" s="6">
        <f t="shared" si="7"/>
        <v>84.746653568698207</v>
      </c>
      <c r="AG34" s="6">
        <f t="shared" si="7"/>
        <v>89.627841977896324</v>
      </c>
      <c r="AH34" s="6">
        <f t="shared" ref="AH34:AH62" si="11">CT34*AI34+DZ34</f>
        <v>94.752803044535398</v>
      </c>
      <c r="AI34" s="1">
        <v>100</v>
      </c>
      <c r="AJ34" s="3"/>
      <c r="AK34" s="18"/>
      <c r="AL34" s="14">
        <f t="shared" ref="AL34:AL62" si="12">-($C$10*$C$9*F3)/($C$7)</f>
        <v>-1076400000</v>
      </c>
      <c r="AM34" s="14">
        <f t="shared" si="8"/>
        <v>-1002494721.9862058</v>
      </c>
      <c r="AN34" s="14">
        <f t="shared" si="8"/>
        <v>-929270179.55348516</v>
      </c>
      <c r="AO34" s="14">
        <f t="shared" si="8"/>
        <v>-857393377.56605101</v>
      </c>
      <c r="AP34" s="14">
        <f t="shared" si="8"/>
        <v>-787504382.06390166</v>
      </c>
      <c r="AQ34" s="14">
        <f t="shared" si="8"/>
        <v>-720204124.28640604</v>
      </c>
      <c r="AR34" s="14">
        <f t="shared" si="8"/>
        <v>-656043642.9386934</v>
      </c>
      <c r="AS34" s="14">
        <f t="shared" si="8"/>
        <v>-595515102.34116018</v>
      </c>
      <c r="AT34" s="14">
        <f t="shared" si="8"/>
        <v>-539044817.80439854</v>
      </c>
      <c r="AU34" s="14">
        <f t="shared" si="8"/>
        <v>-486988403.95702571</v>
      </c>
      <c r="AV34" s="14">
        <f t="shared" si="8"/>
        <v>-439628045.79576576</v>
      </c>
      <c r="AW34" s="14">
        <f t="shared" si="8"/>
        <v>-397171784.53223389</v>
      </c>
      <c r="AX34" s="14">
        <f t="shared" si="8"/>
        <v>-359754618.35368681</v>
      </c>
      <c r="AY34" s="14">
        <f t="shared" si="8"/>
        <v>-327441147.71531916</v>
      </c>
      <c r="AZ34" s="14">
        <f t="shared" si="8"/>
        <v>-300229449.28156084</v>
      </c>
      <c r="BA34" s="14">
        <f t="shared" si="8"/>
        <v>-278055843.30786979</v>
      </c>
      <c r="BB34" s="14">
        <f t="shared" si="8"/>
        <v>-260800224.9599368</v>
      </c>
      <c r="BC34" s="14">
        <f t="shared" si="8"/>
        <v>-248291657.61529362</v>
      </c>
      <c r="BD34" s="14">
        <f t="shared" si="8"/>
        <v>-240313970.80023578</v>
      </c>
      <c r="BE34" s="14">
        <f t="shared" si="8"/>
        <v>-236611161.2819317</v>
      </c>
      <c r="BF34" s="14">
        <f t="shared" si="8"/>
        <v>-236892456.77736324</v>
      </c>
      <c r="BG34" s="14">
        <f t="shared" si="8"/>
        <v>-240836961.81576768</v>
      </c>
      <c r="BH34" s="14">
        <f t="shared" si="8"/>
        <v>-248097859.35651574</v>
      </c>
      <c r="BI34" s="14">
        <f t="shared" si="8"/>
        <v>-258306185.91013339</v>
      </c>
      <c r="BJ34" s="14">
        <f t="shared" si="8"/>
        <v>-271074229.73794615</v>
      </c>
      <c r="BK34" s="14">
        <f t="shared" si="8"/>
        <v>-285998620.43119395</v>
      </c>
      <c r="BL34" s="14">
        <f t="shared" si="8"/>
        <v>-302663184.55089301</v>
      </c>
      <c r="BM34" s="14">
        <f t="shared" si="8"/>
        <v>-320641638.11411601</v>
      </c>
      <c r="BN34" s="14">
        <f t="shared" si="8"/>
        <v>-339500175.56428266</v>
      </c>
      <c r="BO34" s="14">
        <f t="shared" si="8"/>
        <v>-358800000</v>
      </c>
      <c r="BQ34" s="21"/>
      <c r="BR34" s="1">
        <v>0</v>
      </c>
      <c r="BS34" s="14">
        <f t="shared" ref="BS34:CU34" si="13">$C$16/($C$17-$C$18*BR34)</f>
        <v>0.3415922014622258</v>
      </c>
      <c r="BT34" s="14">
        <f t="shared" si="13"/>
        <v>0.3867162803971414</v>
      </c>
      <c r="BU34" s="14">
        <f t="shared" si="13"/>
        <v>0.39358441341045353</v>
      </c>
      <c r="BV34" s="14">
        <f t="shared" si="13"/>
        <v>0.39465123071155611</v>
      </c>
      <c r="BW34" s="14">
        <f t="shared" si="13"/>
        <v>0.39481745705771337</v>
      </c>
      <c r="BX34" s="14">
        <f t="shared" si="13"/>
        <v>0.39484337025824801</v>
      </c>
      <c r="BY34" s="14">
        <f t="shared" si="13"/>
        <v>0.39484741020089792</v>
      </c>
      <c r="BZ34" s="14">
        <f t="shared" si="13"/>
        <v>0.39484804004704999</v>
      </c>
      <c r="CA34" s="14">
        <f t="shared" si="13"/>
        <v>0.39484813824322279</v>
      </c>
      <c r="CB34" s="14">
        <f t="shared" si="13"/>
        <v>0.39484815355250286</v>
      </c>
      <c r="CC34" s="14">
        <f t="shared" si="13"/>
        <v>0.39484815593929717</v>
      </c>
      <c r="CD34" s="14">
        <f t="shared" si="13"/>
        <v>0.39484815631141046</v>
      </c>
      <c r="CE34" s="14">
        <f t="shared" si="13"/>
        <v>0.39484815636942483</v>
      </c>
      <c r="CF34" s="14">
        <f t="shared" si="13"/>
        <v>0.39484815637846954</v>
      </c>
      <c r="CG34" s="14">
        <f t="shared" si="13"/>
        <v>0.39484815637987963</v>
      </c>
      <c r="CH34" s="14">
        <f t="shared" si="13"/>
        <v>0.39484815638009951</v>
      </c>
      <c r="CI34" s="14">
        <f t="shared" si="13"/>
        <v>0.39484815638013382</v>
      </c>
      <c r="CJ34" s="14">
        <f t="shared" si="13"/>
        <v>0.39484815638013915</v>
      </c>
      <c r="CK34" s="14">
        <f t="shared" si="13"/>
        <v>0.39484815638013998</v>
      </c>
      <c r="CL34" s="14">
        <f t="shared" si="13"/>
        <v>0.39484815638014015</v>
      </c>
      <c r="CM34" s="14">
        <f t="shared" si="13"/>
        <v>0.39484815638014015</v>
      </c>
      <c r="CN34" s="14">
        <f t="shared" si="13"/>
        <v>0.39484815638014015</v>
      </c>
      <c r="CO34" s="14">
        <f t="shared" si="13"/>
        <v>0.39484815638014015</v>
      </c>
      <c r="CP34" s="14">
        <f t="shared" si="13"/>
        <v>0.39484815638014015</v>
      </c>
      <c r="CQ34" s="14">
        <f t="shared" si="13"/>
        <v>0.39484815638014015</v>
      </c>
      <c r="CR34" s="14">
        <f t="shared" si="13"/>
        <v>0.39484815638014015</v>
      </c>
      <c r="CS34" s="14">
        <f t="shared" si="13"/>
        <v>0.39484815638014015</v>
      </c>
      <c r="CT34" s="14">
        <f t="shared" si="13"/>
        <v>0.39484815638014015</v>
      </c>
      <c r="CU34" s="14">
        <f t="shared" si="13"/>
        <v>0.39484815638014015</v>
      </c>
      <c r="CW34" s="23"/>
      <c r="CX34" s="1">
        <f t="shared" ref="CX34:CX62" si="14">F34</f>
        <v>300</v>
      </c>
      <c r="CY34" s="14">
        <f t="shared" ref="CY34:CY62" si="15">($C$18*CX34-AM34)/($C$17-$C$18*BR34)</f>
        <v>190.99660244288896</v>
      </c>
      <c r="CZ34" s="14">
        <f t="shared" si="10"/>
        <v>166.75399096606574</v>
      </c>
      <c r="DA34" s="14">
        <f t="shared" si="10"/>
        <v>152.86143350061789</v>
      </c>
      <c r="DB34" s="14">
        <f t="shared" si="10"/>
        <v>140.66339849143094</v>
      </c>
      <c r="DC34" s="14">
        <f t="shared" si="10"/>
        <v>129.0381904791405</v>
      </c>
      <c r="DD34" s="14">
        <f t="shared" si="10"/>
        <v>117.90807156369655</v>
      </c>
      <c r="DE34" s="14">
        <f t="shared" si="10"/>
        <v>107.33675338457077</v>
      </c>
      <c r="DF34" s="14">
        <f t="shared" si="10"/>
        <v>97.39922978415818</v>
      </c>
      <c r="DG34" s="14">
        <f t="shared" si="10"/>
        <v>88.162310442393093</v>
      </c>
      <c r="DH34" s="14">
        <f t="shared" si="10"/>
        <v>79.68130454614807</v>
      </c>
      <c r="DI34" s="14">
        <f t="shared" si="10"/>
        <v>71.999302704183933</v>
      </c>
      <c r="DJ34" s="14">
        <f t="shared" si="10"/>
        <v>65.14710030395652</v>
      </c>
      <c r="DK34" s="14">
        <f t="shared" si="10"/>
        <v>59.143450646373928</v>
      </c>
      <c r="DL34" s="14">
        <f t="shared" si="10"/>
        <v>53.995562183683887</v>
      </c>
      <c r="DM34" s="14">
        <f t="shared" si="10"/>
        <v>49.699781702290956</v>
      </c>
      <c r="DN34" s="14">
        <f t="shared" si="10"/>
        <v>46.242408254245966</v>
      </c>
      <c r="DO34" s="14">
        <f t="shared" si="10"/>
        <v>43.600585421490571</v>
      </c>
      <c r="DP34" s="14">
        <f t="shared" si="10"/>
        <v>41.743224978200331</v>
      </c>
      <c r="DQ34" s="14">
        <f t="shared" si="10"/>
        <v>40.63192285902803</v>
      </c>
      <c r="DR34" s="14">
        <f t="shared" si="10"/>
        <v>40.221837654286013</v>
      </c>
      <c r="DS34" s="14">
        <f t="shared" si="10"/>
        <v>40.462511661497935</v>
      </c>
      <c r="DT34" s="14">
        <f t="shared" si="10"/>
        <v>41.298623913673524</v>
      </c>
      <c r="DU34" s="14">
        <f t="shared" si="10"/>
        <v>42.670672818371159</v>
      </c>
      <c r="DV34" s="14">
        <f t="shared" si="10"/>
        <v>44.515592533278415</v>
      </c>
      <c r="DW34" s="14">
        <f t="shared" si="10"/>
        <v>46.767311678464637</v>
      </c>
      <c r="DX34" s="14">
        <f t="shared" si="10"/>
        <v>49.35726540339531</v>
      </c>
      <c r="DY34" s="14">
        <f t="shared" si="10"/>
        <v>52.214872383910993</v>
      </c>
      <c r="DZ34" s="14">
        <f t="shared" si="10"/>
        <v>55.267987406521392</v>
      </c>
      <c r="EA34" s="14">
        <f t="shared" si="10"/>
        <v>58.443338317957306</v>
      </c>
    </row>
    <row r="35" spans="5:131" x14ac:dyDescent="0.25">
      <c r="E35" s="19"/>
      <c r="F35" s="1">
        <v>300</v>
      </c>
      <c r="G35" s="6">
        <f t="shared" si="7"/>
        <v>279.60238189843886</v>
      </c>
      <c r="H35" s="6">
        <f t="shared" si="7"/>
        <v>259.39052202088459</v>
      </c>
      <c r="I35" s="6">
        <f t="shared" si="7"/>
        <v>239.54649894668262</v>
      </c>
      <c r="J35" s="6">
        <f t="shared" si="7"/>
        <v>220.24516848858121</v>
      </c>
      <c r="K35" s="6">
        <f t="shared" si="7"/>
        <v>201.65088514652382</v>
      </c>
      <c r="L35" s="6">
        <f t="shared" si="7"/>
        <v>183.91459994832243</v>
      </c>
      <c r="M35" s="6">
        <f t="shared" si="7"/>
        <v>167.17142380142838</v>
      </c>
      <c r="N35" s="6">
        <f t="shared" si="7"/>
        <v>151.53871817574745</v>
      </c>
      <c r="O35" s="6">
        <f t="shared" si="7"/>
        <v>137.11474516914919</v>
      </c>
      <c r="P35" s="6">
        <f t="shared" si="7"/>
        <v>123.97787905131733</v>
      </c>
      <c r="Q35" s="6">
        <f t="shared" si="7"/>
        <v>112.18635342884832</v>
      </c>
      <c r="R35" s="6">
        <f t="shared" si="7"/>
        <v>101.77849413799117</v>
      </c>
      <c r="S35" s="6">
        <f t="shared" si="7"/>
        <v>92.773369328193212</v>
      </c>
      <c r="T35" s="6">
        <f t="shared" si="7"/>
        <v>85.171775882257649</v>
      </c>
      <c r="U35" s="6">
        <f t="shared" si="7"/>
        <v>78.957475664874991</v>
      </c>
      <c r="V35" s="6">
        <f t="shared" si="7"/>
        <v>74.098595852212839</v>
      </c>
      <c r="W35" s="6">
        <f t="shared" si="7"/>
        <v>70.549114002070169</v>
      </c>
      <c r="X35" s="6">
        <f t="shared" si="7"/>
        <v>68.250359397994316</v>
      </c>
      <c r="Y35" s="6">
        <f t="shared" si="7"/>
        <v>67.132476096138333</v>
      </c>
      <c r="Z35" s="6">
        <f t="shared" si="7"/>
        <v>67.115808466880353</v>
      </c>
      <c r="AA35" s="6">
        <f t="shared" si="7"/>
        <v>68.112185350315173</v>
      </c>
      <c r="AB35" s="6">
        <f t="shared" si="7"/>
        <v>70.026092922154888</v>
      </c>
      <c r="AC35" s="6">
        <f t="shared" si="7"/>
        <v>72.755737982537227</v>
      </c>
      <c r="AD35" s="6">
        <f t="shared" si="7"/>
        <v>76.194011996859032</v>
      </c>
      <c r="AE35" s="6">
        <f t="shared" si="7"/>
        <v>80.229371599451554</v>
      </c>
      <c r="AF35" s="6">
        <f t="shared" si="7"/>
        <v>84.746653568698207</v>
      </c>
      <c r="AG35" s="6">
        <f t="shared" si="7"/>
        <v>89.627841977896324</v>
      </c>
      <c r="AH35" s="6">
        <f t="shared" si="11"/>
        <v>94.752803044535398</v>
      </c>
      <c r="AI35" s="1">
        <v>100</v>
      </c>
      <c r="AJ35" s="3"/>
      <c r="AK35" s="18"/>
      <c r="AL35" s="14">
        <f t="shared" si="12"/>
        <v>-1076400000</v>
      </c>
      <c r="AM35" s="14">
        <f t="shared" si="8"/>
        <v>-1002494721.9862058</v>
      </c>
      <c r="AN35" s="14">
        <f t="shared" si="8"/>
        <v>-929270179.55348516</v>
      </c>
      <c r="AO35" s="14">
        <f t="shared" si="8"/>
        <v>-857393377.56605101</v>
      </c>
      <c r="AP35" s="14">
        <f t="shared" si="8"/>
        <v>-787504382.06390166</v>
      </c>
      <c r="AQ35" s="14">
        <f t="shared" si="8"/>
        <v>-720204124.28640604</v>
      </c>
      <c r="AR35" s="14">
        <f t="shared" si="8"/>
        <v>-656043642.9386934</v>
      </c>
      <c r="AS35" s="14">
        <f t="shared" si="8"/>
        <v>-595515102.34116018</v>
      </c>
      <c r="AT35" s="14">
        <f t="shared" si="8"/>
        <v>-539044817.80439854</v>
      </c>
      <c r="AU35" s="14">
        <f t="shared" si="8"/>
        <v>-486988403.95702571</v>
      </c>
      <c r="AV35" s="14">
        <f t="shared" si="8"/>
        <v>-439628045.79576576</v>
      </c>
      <c r="AW35" s="14">
        <f t="shared" si="8"/>
        <v>-397171784.53223389</v>
      </c>
      <c r="AX35" s="14">
        <f t="shared" si="8"/>
        <v>-359754618.35368681</v>
      </c>
      <c r="AY35" s="14">
        <f t="shared" si="8"/>
        <v>-327441147.71531916</v>
      </c>
      <c r="AZ35" s="14">
        <f t="shared" si="8"/>
        <v>-300229449.28156084</v>
      </c>
      <c r="BA35" s="14">
        <f t="shared" si="8"/>
        <v>-278055843.30786979</v>
      </c>
      <c r="BB35" s="14">
        <f t="shared" si="8"/>
        <v>-260800224.9599368</v>
      </c>
      <c r="BC35" s="14">
        <f t="shared" si="8"/>
        <v>-248291657.61529362</v>
      </c>
      <c r="BD35" s="14">
        <f t="shared" si="8"/>
        <v>-240313970.80023578</v>
      </c>
      <c r="BE35" s="14">
        <f t="shared" si="8"/>
        <v>-236611161.2819317</v>
      </c>
      <c r="BF35" s="14">
        <f t="shared" si="8"/>
        <v>-236892456.77736324</v>
      </c>
      <c r="BG35" s="14">
        <f t="shared" si="8"/>
        <v>-240836961.81576768</v>
      </c>
      <c r="BH35" s="14">
        <f t="shared" si="8"/>
        <v>-248097859.35651574</v>
      </c>
      <c r="BI35" s="14">
        <f t="shared" si="8"/>
        <v>-258306185.91013339</v>
      </c>
      <c r="BJ35" s="14">
        <f t="shared" si="8"/>
        <v>-271074229.73794615</v>
      </c>
      <c r="BK35" s="14">
        <f t="shared" si="8"/>
        <v>-285998620.43119395</v>
      </c>
      <c r="BL35" s="14">
        <f t="shared" si="8"/>
        <v>-302663184.55089301</v>
      </c>
      <c r="BM35" s="14">
        <f t="shared" si="8"/>
        <v>-320641638.11411601</v>
      </c>
      <c r="BN35" s="14">
        <f t="shared" si="8"/>
        <v>-339500175.56428266</v>
      </c>
      <c r="BO35" s="14">
        <f t="shared" si="8"/>
        <v>-358800000</v>
      </c>
      <c r="BQ35" s="21"/>
      <c r="BR35" s="1">
        <v>0</v>
      </c>
      <c r="BS35" s="14">
        <f t="shared" ref="BS35:CU35" si="16">$C$16/($C$17-$C$18*BR35)</f>
        <v>0.3415922014622258</v>
      </c>
      <c r="BT35" s="14">
        <f t="shared" si="16"/>
        <v>0.3867162803971414</v>
      </c>
      <c r="BU35" s="14">
        <f t="shared" si="16"/>
        <v>0.39358441341045353</v>
      </c>
      <c r="BV35" s="14">
        <f t="shared" si="16"/>
        <v>0.39465123071155611</v>
      </c>
      <c r="BW35" s="14">
        <f t="shared" si="16"/>
        <v>0.39481745705771337</v>
      </c>
      <c r="BX35" s="14">
        <f t="shared" si="16"/>
        <v>0.39484337025824801</v>
      </c>
      <c r="BY35" s="14">
        <f t="shared" si="16"/>
        <v>0.39484741020089792</v>
      </c>
      <c r="BZ35" s="14">
        <f t="shared" si="16"/>
        <v>0.39484804004704999</v>
      </c>
      <c r="CA35" s="14">
        <f t="shared" si="16"/>
        <v>0.39484813824322279</v>
      </c>
      <c r="CB35" s="14">
        <f t="shared" si="16"/>
        <v>0.39484815355250286</v>
      </c>
      <c r="CC35" s="14">
        <f t="shared" si="16"/>
        <v>0.39484815593929717</v>
      </c>
      <c r="CD35" s="14">
        <f t="shared" si="16"/>
        <v>0.39484815631141046</v>
      </c>
      <c r="CE35" s="14">
        <f t="shared" si="16"/>
        <v>0.39484815636942483</v>
      </c>
      <c r="CF35" s="14">
        <f t="shared" si="16"/>
        <v>0.39484815637846954</v>
      </c>
      <c r="CG35" s="14">
        <f t="shared" si="16"/>
        <v>0.39484815637987963</v>
      </c>
      <c r="CH35" s="14">
        <f t="shared" si="16"/>
        <v>0.39484815638009951</v>
      </c>
      <c r="CI35" s="14">
        <f t="shared" si="16"/>
        <v>0.39484815638013382</v>
      </c>
      <c r="CJ35" s="14">
        <f t="shared" si="16"/>
        <v>0.39484815638013915</v>
      </c>
      <c r="CK35" s="14">
        <f t="shared" si="16"/>
        <v>0.39484815638013998</v>
      </c>
      <c r="CL35" s="14">
        <f t="shared" si="16"/>
        <v>0.39484815638014015</v>
      </c>
      <c r="CM35" s="14">
        <f t="shared" si="16"/>
        <v>0.39484815638014015</v>
      </c>
      <c r="CN35" s="14">
        <f t="shared" si="16"/>
        <v>0.39484815638014015</v>
      </c>
      <c r="CO35" s="14">
        <f t="shared" si="16"/>
        <v>0.39484815638014015</v>
      </c>
      <c r="CP35" s="14">
        <f t="shared" si="16"/>
        <v>0.39484815638014015</v>
      </c>
      <c r="CQ35" s="14">
        <f t="shared" si="16"/>
        <v>0.39484815638014015</v>
      </c>
      <c r="CR35" s="14">
        <f t="shared" si="16"/>
        <v>0.39484815638014015</v>
      </c>
      <c r="CS35" s="14">
        <f t="shared" si="16"/>
        <v>0.39484815638014015</v>
      </c>
      <c r="CT35" s="14">
        <f t="shared" si="16"/>
        <v>0.39484815638014015</v>
      </c>
      <c r="CU35" s="14">
        <f t="shared" si="16"/>
        <v>0.39484815638014015</v>
      </c>
      <c r="CW35" s="23"/>
      <c r="CX35" s="1">
        <f t="shared" si="14"/>
        <v>300</v>
      </c>
      <c r="CY35" s="14">
        <f t="shared" si="15"/>
        <v>190.99660244288896</v>
      </c>
      <c r="CZ35" s="14">
        <f t="shared" si="10"/>
        <v>166.75399096606574</v>
      </c>
      <c r="DA35" s="14">
        <f t="shared" si="10"/>
        <v>152.86143350061789</v>
      </c>
      <c r="DB35" s="14">
        <f t="shared" si="10"/>
        <v>140.66339849143094</v>
      </c>
      <c r="DC35" s="14">
        <f t="shared" si="10"/>
        <v>129.0381904791405</v>
      </c>
      <c r="DD35" s="14">
        <f t="shared" si="10"/>
        <v>117.90807156369655</v>
      </c>
      <c r="DE35" s="14">
        <f t="shared" si="10"/>
        <v>107.33675338457077</v>
      </c>
      <c r="DF35" s="14">
        <f t="shared" si="10"/>
        <v>97.39922978415818</v>
      </c>
      <c r="DG35" s="14">
        <f t="shared" si="10"/>
        <v>88.162310442393093</v>
      </c>
      <c r="DH35" s="14">
        <f t="shared" si="10"/>
        <v>79.68130454614807</v>
      </c>
      <c r="DI35" s="14">
        <f t="shared" si="10"/>
        <v>71.999302704183933</v>
      </c>
      <c r="DJ35" s="14">
        <f t="shared" si="10"/>
        <v>65.14710030395652</v>
      </c>
      <c r="DK35" s="14">
        <f t="shared" si="10"/>
        <v>59.143450646373928</v>
      </c>
      <c r="DL35" s="14">
        <f t="shared" si="10"/>
        <v>53.995562183683887</v>
      </c>
      <c r="DM35" s="14">
        <f t="shared" si="10"/>
        <v>49.699781702290956</v>
      </c>
      <c r="DN35" s="14">
        <f t="shared" si="10"/>
        <v>46.242408254245966</v>
      </c>
      <c r="DO35" s="14">
        <f t="shared" si="10"/>
        <v>43.600585421490571</v>
      </c>
      <c r="DP35" s="14">
        <f t="shared" si="10"/>
        <v>41.743224978200331</v>
      </c>
      <c r="DQ35" s="14">
        <f t="shared" si="10"/>
        <v>40.63192285902803</v>
      </c>
      <c r="DR35" s="14">
        <f t="shared" si="10"/>
        <v>40.221837654286013</v>
      </c>
      <c r="DS35" s="14">
        <f t="shared" si="10"/>
        <v>40.462511661497935</v>
      </c>
      <c r="DT35" s="14">
        <f t="shared" si="10"/>
        <v>41.298623913673524</v>
      </c>
      <c r="DU35" s="14">
        <f t="shared" si="10"/>
        <v>42.670672818371159</v>
      </c>
      <c r="DV35" s="14">
        <f t="shared" si="10"/>
        <v>44.515592533278415</v>
      </c>
      <c r="DW35" s="14">
        <f t="shared" si="10"/>
        <v>46.767311678464637</v>
      </c>
      <c r="DX35" s="14">
        <f t="shared" si="10"/>
        <v>49.35726540339531</v>
      </c>
      <c r="DY35" s="14">
        <f t="shared" si="10"/>
        <v>52.214872383910993</v>
      </c>
      <c r="DZ35" s="14">
        <f t="shared" si="10"/>
        <v>55.267987406521392</v>
      </c>
      <c r="EA35" s="14">
        <f t="shared" si="10"/>
        <v>58.443338317957306</v>
      </c>
    </row>
    <row r="36" spans="5:131" x14ac:dyDescent="0.25">
      <c r="E36" s="19"/>
      <c r="F36" s="1">
        <v>300</v>
      </c>
      <c r="G36" s="6">
        <f t="shared" si="7"/>
        <v>279.60238189843892</v>
      </c>
      <c r="H36" s="6">
        <f t="shared" si="7"/>
        <v>259.39052202088465</v>
      </c>
      <c r="I36" s="6">
        <f t="shared" si="7"/>
        <v>239.54649894668268</v>
      </c>
      <c r="J36" s="6">
        <f t="shared" si="7"/>
        <v>220.24516848858121</v>
      </c>
      <c r="K36" s="6">
        <f t="shared" si="7"/>
        <v>201.65088514652382</v>
      </c>
      <c r="L36" s="6">
        <f t="shared" si="7"/>
        <v>183.91459994832243</v>
      </c>
      <c r="M36" s="6">
        <f t="shared" si="7"/>
        <v>167.17142380142838</v>
      </c>
      <c r="N36" s="6">
        <f t="shared" si="7"/>
        <v>151.53871817574745</v>
      </c>
      <c r="O36" s="6">
        <f t="shared" si="7"/>
        <v>137.11474516914919</v>
      </c>
      <c r="P36" s="6">
        <f t="shared" si="7"/>
        <v>123.97787905131733</v>
      </c>
      <c r="Q36" s="6">
        <f t="shared" si="7"/>
        <v>112.18635342884832</v>
      </c>
      <c r="R36" s="6">
        <f t="shared" si="7"/>
        <v>101.77849413799117</v>
      </c>
      <c r="S36" s="6">
        <f t="shared" si="7"/>
        <v>92.773369328193212</v>
      </c>
      <c r="T36" s="6">
        <f t="shared" si="7"/>
        <v>85.171775882257649</v>
      </c>
      <c r="U36" s="6">
        <f t="shared" si="7"/>
        <v>78.957475664874991</v>
      </c>
      <c r="V36" s="6">
        <f t="shared" si="7"/>
        <v>74.098595852212839</v>
      </c>
      <c r="W36" s="6">
        <f t="shared" si="7"/>
        <v>70.549114002070169</v>
      </c>
      <c r="X36" s="6">
        <f t="shared" si="7"/>
        <v>68.250359397994316</v>
      </c>
      <c r="Y36" s="6">
        <f t="shared" si="7"/>
        <v>67.132476096138333</v>
      </c>
      <c r="Z36" s="6">
        <f t="shared" si="7"/>
        <v>67.115808466880353</v>
      </c>
      <c r="AA36" s="6">
        <f t="shared" si="7"/>
        <v>68.112185350315173</v>
      </c>
      <c r="AB36" s="6">
        <f t="shared" si="7"/>
        <v>70.026092922154888</v>
      </c>
      <c r="AC36" s="6">
        <f t="shared" si="7"/>
        <v>72.755737982537227</v>
      </c>
      <c r="AD36" s="6">
        <f t="shared" si="7"/>
        <v>76.194011996859032</v>
      </c>
      <c r="AE36" s="6">
        <f t="shared" si="7"/>
        <v>80.229371599451554</v>
      </c>
      <c r="AF36" s="6">
        <f t="shared" si="7"/>
        <v>84.746653568698207</v>
      </c>
      <c r="AG36" s="6">
        <f t="shared" si="7"/>
        <v>89.627841977896324</v>
      </c>
      <c r="AH36" s="6">
        <f t="shared" si="11"/>
        <v>94.752803044535398</v>
      </c>
      <c r="AI36" s="1">
        <v>100</v>
      </c>
      <c r="AJ36" s="3"/>
      <c r="AK36" s="18"/>
      <c r="AL36" s="14">
        <f t="shared" si="12"/>
        <v>-1076400000</v>
      </c>
      <c r="AM36" s="14">
        <f t="shared" si="8"/>
        <v>-1002494721.9862058</v>
      </c>
      <c r="AN36" s="14">
        <f t="shared" si="8"/>
        <v>-929270179.55348539</v>
      </c>
      <c r="AO36" s="14">
        <f t="shared" si="8"/>
        <v>-857393377.56605101</v>
      </c>
      <c r="AP36" s="14">
        <f t="shared" si="8"/>
        <v>-787504382.06390178</v>
      </c>
      <c r="AQ36" s="14">
        <f t="shared" si="8"/>
        <v>-720204124.28640604</v>
      </c>
      <c r="AR36" s="14">
        <f t="shared" si="8"/>
        <v>-656043642.9386934</v>
      </c>
      <c r="AS36" s="14">
        <f t="shared" si="8"/>
        <v>-595515102.34116018</v>
      </c>
      <c r="AT36" s="14">
        <f t="shared" si="8"/>
        <v>-539044817.80439854</v>
      </c>
      <c r="AU36" s="14">
        <f t="shared" si="8"/>
        <v>-486988403.95702571</v>
      </c>
      <c r="AV36" s="14">
        <f t="shared" si="8"/>
        <v>-439628045.79576576</v>
      </c>
      <c r="AW36" s="14">
        <f t="shared" si="8"/>
        <v>-397171784.53223389</v>
      </c>
      <c r="AX36" s="14">
        <f t="shared" si="8"/>
        <v>-359754618.35368681</v>
      </c>
      <c r="AY36" s="14">
        <f t="shared" si="8"/>
        <v>-327441147.71531916</v>
      </c>
      <c r="AZ36" s="14">
        <f t="shared" si="8"/>
        <v>-300229449.28156084</v>
      </c>
      <c r="BA36" s="14">
        <f t="shared" si="8"/>
        <v>-278055843.30786979</v>
      </c>
      <c r="BB36" s="14">
        <f t="shared" si="8"/>
        <v>-260800224.9599368</v>
      </c>
      <c r="BC36" s="14">
        <f t="shared" si="8"/>
        <v>-248291657.61529362</v>
      </c>
      <c r="BD36" s="14">
        <f t="shared" si="8"/>
        <v>-240313970.80023578</v>
      </c>
      <c r="BE36" s="14">
        <f t="shared" si="8"/>
        <v>-236611161.2819317</v>
      </c>
      <c r="BF36" s="14">
        <f t="shared" si="8"/>
        <v>-236892456.77736324</v>
      </c>
      <c r="BG36" s="14">
        <f t="shared" si="8"/>
        <v>-240836961.81576768</v>
      </c>
      <c r="BH36" s="14">
        <f t="shared" si="8"/>
        <v>-248097859.35651574</v>
      </c>
      <c r="BI36" s="14">
        <f t="shared" si="8"/>
        <v>-258306185.91013339</v>
      </c>
      <c r="BJ36" s="14">
        <f t="shared" si="8"/>
        <v>-271074229.73794615</v>
      </c>
      <c r="BK36" s="14">
        <f t="shared" si="8"/>
        <v>-285998620.43119395</v>
      </c>
      <c r="BL36" s="14">
        <f t="shared" si="8"/>
        <v>-302663184.55089301</v>
      </c>
      <c r="BM36" s="14">
        <f t="shared" si="8"/>
        <v>-320641638.11411601</v>
      </c>
      <c r="BN36" s="14">
        <f t="shared" si="8"/>
        <v>-339500175.56428266</v>
      </c>
      <c r="BO36" s="14">
        <f t="shared" si="8"/>
        <v>-358800000</v>
      </c>
      <c r="BQ36" s="21"/>
      <c r="BR36" s="1">
        <v>0</v>
      </c>
      <c r="BS36" s="14">
        <f t="shared" ref="BS36:CU36" si="17">$C$16/($C$17-$C$18*BR36)</f>
        <v>0.3415922014622258</v>
      </c>
      <c r="BT36" s="14">
        <f t="shared" si="17"/>
        <v>0.3867162803971414</v>
      </c>
      <c r="BU36" s="14">
        <f t="shared" si="17"/>
        <v>0.39358441341045353</v>
      </c>
      <c r="BV36" s="14">
        <f t="shared" si="17"/>
        <v>0.39465123071155611</v>
      </c>
      <c r="BW36" s="14">
        <f t="shared" si="17"/>
        <v>0.39481745705771337</v>
      </c>
      <c r="BX36" s="14">
        <f t="shared" si="17"/>
        <v>0.39484337025824801</v>
      </c>
      <c r="BY36" s="14">
        <f t="shared" si="17"/>
        <v>0.39484741020089792</v>
      </c>
      <c r="BZ36" s="14">
        <f t="shared" si="17"/>
        <v>0.39484804004704999</v>
      </c>
      <c r="CA36" s="14">
        <f t="shared" si="17"/>
        <v>0.39484813824322279</v>
      </c>
      <c r="CB36" s="14">
        <f t="shared" si="17"/>
        <v>0.39484815355250286</v>
      </c>
      <c r="CC36" s="14">
        <f t="shared" si="17"/>
        <v>0.39484815593929717</v>
      </c>
      <c r="CD36" s="14">
        <f t="shared" si="17"/>
        <v>0.39484815631141046</v>
      </c>
      <c r="CE36" s="14">
        <f t="shared" si="17"/>
        <v>0.39484815636942483</v>
      </c>
      <c r="CF36" s="14">
        <f t="shared" si="17"/>
        <v>0.39484815637846954</v>
      </c>
      <c r="CG36" s="14">
        <f t="shared" si="17"/>
        <v>0.39484815637987963</v>
      </c>
      <c r="CH36" s="14">
        <f t="shared" si="17"/>
        <v>0.39484815638009951</v>
      </c>
      <c r="CI36" s="14">
        <f t="shared" si="17"/>
        <v>0.39484815638013382</v>
      </c>
      <c r="CJ36" s="14">
        <f t="shared" si="17"/>
        <v>0.39484815638013915</v>
      </c>
      <c r="CK36" s="14">
        <f t="shared" si="17"/>
        <v>0.39484815638013998</v>
      </c>
      <c r="CL36" s="14">
        <f t="shared" si="17"/>
        <v>0.39484815638014015</v>
      </c>
      <c r="CM36" s="14">
        <f t="shared" si="17"/>
        <v>0.39484815638014015</v>
      </c>
      <c r="CN36" s="14">
        <f t="shared" si="17"/>
        <v>0.39484815638014015</v>
      </c>
      <c r="CO36" s="14">
        <f t="shared" si="17"/>
        <v>0.39484815638014015</v>
      </c>
      <c r="CP36" s="14">
        <f t="shared" si="17"/>
        <v>0.39484815638014015</v>
      </c>
      <c r="CQ36" s="14">
        <f t="shared" si="17"/>
        <v>0.39484815638014015</v>
      </c>
      <c r="CR36" s="14">
        <f t="shared" si="17"/>
        <v>0.39484815638014015</v>
      </c>
      <c r="CS36" s="14">
        <f t="shared" si="17"/>
        <v>0.39484815638014015</v>
      </c>
      <c r="CT36" s="14">
        <f t="shared" si="17"/>
        <v>0.39484815638014015</v>
      </c>
      <c r="CU36" s="14">
        <f t="shared" si="17"/>
        <v>0.39484815638014015</v>
      </c>
      <c r="CW36" s="23"/>
      <c r="CX36" s="1">
        <f t="shared" si="14"/>
        <v>300</v>
      </c>
      <c r="CY36" s="14">
        <f t="shared" si="15"/>
        <v>190.99660244288896</v>
      </c>
      <c r="CZ36" s="14">
        <f t="shared" si="10"/>
        <v>166.75399096606577</v>
      </c>
      <c r="DA36" s="14">
        <f t="shared" si="10"/>
        <v>152.86143350061792</v>
      </c>
      <c r="DB36" s="14">
        <f t="shared" si="10"/>
        <v>140.66339849143094</v>
      </c>
      <c r="DC36" s="14">
        <f t="shared" si="10"/>
        <v>129.0381904791405</v>
      </c>
      <c r="DD36" s="14">
        <f t="shared" si="10"/>
        <v>117.90807156369655</v>
      </c>
      <c r="DE36" s="14">
        <f t="shared" si="10"/>
        <v>107.33675338457077</v>
      </c>
      <c r="DF36" s="14">
        <f t="shared" si="10"/>
        <v>97.39922978415818</v>
      </c>
      <c r="DG36" s="14">
        <f t="shared" si="10"/>
        <v>88.162310442393093</v>
      </c>
      <c r="DH36" s="14">
        <f t="shared" si="10"/>
        <v>79.68130454614807</v>
      </c>
      <c r="DI36" s="14">
        <f t="shared" si="10"/>
        <v>71.999302704183933</v>
      </c>
      <c r="DJ36" s="14">
        <f t="shared" si="10"/>
        <v>65.14710030395652</v>
      </c>
      <c r="DK36" s="14">
        <f t="shared" si="10"/>
        <v>59.143450646373928</v>
      </c>
      <c r="DL36" s="14">
        <f t="shared" si="10"/>
        <v>53.995562183683887</v>
      </c>
      <c r="DM36" s="14">
        <f t="shared" si="10"/>
        <v>49.699781702290956</v>
      </c>
      <c r="DN36" s="14">
        <f t="shared" si="10"/>
        <v>46.242408254245966</v>
      </c>
      <c r="DO36" s="14">
        <f t="shared" si="10"/>
        <v>43.600585421490571</v>
      </c>
      <c r="DP36" s="14">
        <f t="shared" si="10"/>
        <v>41.743224978200331</v>
      </c>
      <c r="DQ36" s="14">
        <f t="shared" si="10"/>
        <v>40.63192285902803</v>
      </c>
      <c r="DR36" s="14">
        <f t="shared" si="10"/>
        <v>40.221837654286013</v>
      </c>
      <c r="DS36" s="14">
        <f t="shared" si="10"/>
        <v>40.462511661497935</v>
      </c>
      <c r="DT36" s="14">
        <f t="shared" si="10"/>
        <v>41.298623913673524</v>
      </c>
      <c r="DU36" s="14">
        <f t="shared" si="10"/>
        <v>42.670672818371159</v>
      </c>
      <c r="DV36" s="14">
        <f t="shared" si="10"/>
        <v>44.515592533278415</v>
      </c>
      <c r="DW36" s="14">
        <f t="shared" si="10"/>
        <v>46.767311678464637</v>
      </c>
      <c r="DX36" s="14">
        <f t="shared" si="10"/>
        <v>49.35726540339531</v>
      </c>
      <c r="DY36" s="14">
        <f t="shared" si="10"/>
        <v>52.214872383910993</v>
      </c>
      <c r="DZ36" s="14">
        <f t="shared" si="10"/>
        <v>55.267987406521392</v>
      </c>
      <c r="EA36" s="14">
        <f t="shared" si="10"/>
        <v>58.443338317957306</v>
      </c>
    </row>
    <row r="37" spans="5:131" x14ac:dyDescent="0.25">
      <c r="E37" s="19"/>
      <c r="F37" s="1">
        <v>300</v>
      </c>
      <c r="G37" s="6">
        <f t="shared" si="7"/>
        <v>279.60238189843892</v>
      </c>
      <c r="H37" s="6">
        <f t="shared" si="7"/>
        <v>259.39052202088465</v>
      </c>
      <c r="I37" s="6">
        <f t="shared" si="7"/>
        <v>239.54649894668268</v>
      </c>
      <c r="J37" s="6">
        <f t="shared" si="7"/>
        <v>220.24516848858124</v>
      </c>
      <c r="K37" s="6">
        <f t="shared" si="7"/>
        <v>201.65088514652382</v>
      </c>
      <c r="L37" s="6">
        <f t="shared" si="7"/>
        <v>183.91459994832246</v>
      </c>
      <c r="M37" s="6">
        <f t="shared" si="7"/>
        <v>167.1714238014284</v>
      </c>
      <c r="N37" s="6">
        <f t="shared" si="7"/>
        <v>151.53871817574748</v>
      </c>
      <c r="O37" s="6">
        <f t="shared" si="7"/>
        <v>137.11474516914919</v>
      </c>
      <c r="P37" s="6">
        <f t="shared" si="7"/>
        <v>123.97787905131733</v>
      </c>
      <c r="Q37" s="6">
        <f t="shared" si="7"/>
        <v>112.18635342884832</v>
      </c>
      <c r="R37" s="6">
        <f t="shared" si="7"/>
        <v>101.77849413799117</v>
      </c>
      <c r="S37" s="6">
        <f t="shared" si="7"/>
        <v>92.773369328193212</v>
      </c>
      <c r="T37" s="6">
        <f t="shared" si="7"/>
        <v>85.171775882257649</v>
      </c>
      <c r="U37" s="6">
        <f t="shared" si="7"/>
        <v>78.957475664874991</v>
      </c>
      <c r="V37" s="6">
        <f t="shared" si="7"/>
        <v>74.098595852212839</v>
      </c>
      <c r="W37" s="6">
        <f t="shared" si="7"/>
        <v>70.549114002070169</v>
      </c>
      <c r="X37" s="6">
        <f t="shared" si="7"/>
        <v>68.250359397994316</v>
      </c>
      <c r="Y37" s="6">
        <f t="shared" si="7"/>
        <v>67.132476096138333</v>
      </c>
      <c r="Z37" s="6">
        <f t="shared" si="7"/>
        <v>67.115808466880353</v>
      </c>
      <c r="AA37" s="6">
        <f t="shared" si="7"/>
        <v>68.112185350315173</v>
      </c>
      <c r="AB37" s="6">
        <f t="shared" si="7"/>
        <v>70.026092922154888</v>
      </c>
      <c r="AC37" s="6">
        <f t="shared" si="7"/>
        <v>72.755737982537227</v>
      </c>
      <c r="AD37" s="6">
        <f t="shared" si="7"/>
        <v>76.194011996859032</v>
      </c>
      <c r="AE37" s="6">
        <f t="shared" si="7"/>
        <v>80.229371599451554</v>
      </c>
      <c r="AF37" s="6">
        <f t="shared" si="7"/>
        <v>84.746653568698207</v>
      </c>
      <c r="AG37" s="6">
        <f t="shared" si="7"/>
        <v>89.627841977896324</v>
      </c>
      <c r="AH37" s="6">
        <f t="shared" si="11"/>
        <v>94.752803044535398</v>
      </c>
      <c r="AI37" s="1">
        <v>100</v>
      </c>
      <c r="AJ37" s="3"/>
      <c r="AK37" s="18"/>
      <c r="AL37" s="14">
        <f t="shared" si="12"/>
        <v>-1076400000</v>
      </c>
      <c r="AM37" s="14">
        <f t="shared" si="8"/>
        <v>-1002494721.9862058</v>
      </c>
      <c r="AN37" s="14">
        <f t="shared" si="8"/>
        <v>-929270179.55348539</v>
      </c>
      <c r="AO37" s="14">
        <f t="shared" si="8"/>
        <v>-857393377.56605101</v>
      </c>
      <c r="AP37" s="14">
        <f t="shared" si="8"/>
        <v>-787504382.0639019</v>
      </c>
      <c r="AQ37" s="14">
        <f t="shared" si="8"/>
        <v>-720204124.28640604</v>
      </c>
      <c r="AR37" s="14">
        <f t="shared" si="8"/>
        <v>-656043642.9386934</v>
      </c>
      <c r="AS37" s="14">
        <f t="shared" si="8"/>
        <v>-595515102.34116018</v>
      </c>
      <c r="AT37" s="14">
        <f t="shared" si="8"/>
        <v>-539044817.80439866</v>
      </c>
      <c r="AU37" s="14">
        <f t="shared" si="8"/>
        <v>-486988403.95702571</v>
      </c>
      <c r="AV37" s="14">
        <f t="shared" si="8"/>
        <v>-439628045.79576576</v>
      </c>
      <c r="AW37" s="14">
        <f t="shared" si="8"/>
        <v>-397171784.53223389</v>
      </c>
      <c r="AX37" s="14">
        <f t="shared" si="8"/>
        <v>-359754618.35368681</v>
      </c>
      <c r="AY37" s="14">
        <f t="shared" si="8"/>
        <v>-327441147.71531916</v>
      </c>
      <c r="AZ37" s="14">
        <f t="shared" si="8"/>
        <v>-300229449.28156084</v>
      </c>
      <c r="BA37" s="14">
        <f t="shared" si="8"/>
        <v>-278055843.30786979</v>
      </c>
      <c r="BB37" s="14">
        <f t="shared" si="8"/>
        <v>-260800224.9599368</v>
      </c>
      <c r="BC37" s="14">
        <f t="shared" si="8"/>
        <v>-248291657.61529362</v>
      </c>
      <c r="BD37" s="14">
        <f t="shared" si="8"/>
        <v>-240313970.80023578</v>
      </c>
      <c r="BE37" s="14">
        <f t="shared" si="8"/>
        <v>-236611161.2819317</v>
      </c>
      <c r="BF37" s="14">
        <f t="shared" si="8"/>
        <v>-236892456.77736324</v>
      </c>
      <c r="BG37" s="14">
        <f t="shared" si="8"/>
        <v>-240836961.81576768</v>
      </c>
      <c r="BH37" s="14">
        <f t="shared" si="8"/>
        <v>-248097859.35651574</v>
      </c>
      <c r="BI37" s="14">
        <f t="shared" si="8"/>
        <v>-258306185.91013339</v>
      </c>
      <c r="BJ37" s="14">
        <f t="shared" si="8"/>
        <v>-271074229.73794615</v>
      </c>
      <c r="BK37" s="14">
        <f t="shared" si="8"/>
        <v>-285998620.43119395</v>
      </c>
      <c r="BL37" s="14">
        <f t="shared" si="8"/>
        <v>-302663184.55089301</v>
      </c>
      <c r="BM37" s="14">
        <f t="shared" si="8"/>
        <v>-320641638.11411601</v>
      </c>
      <c r="BN37" s="14">
        <f t="shared" si="8"/>
        <v>-339500175.56428266</v>
      </c>
      <c r="BO37" s="14">
        <f t="shared" si="8"/>
        <v>-358800000</v>
      </c>
      <c r="BQ37" s="21"/>
      <c r="BR37" s="1">
        <v>0</v>
      </c>
      <c r="BS37" s="14">
        <f t="shared" ref="BS37:CU37" si="18">$C$16/($C$17-$C$18*BR37)</f>
        <v>0.3415922014622258</v>
      </c>
      <c r="BT37" s="14">
        <f t="shared" si="18"/>
        <v>0.3867162803971414</v>
      </c>
      <c r="BU37" s="14">
        <f t="shared" si="18"/>
        <v>0.39358441341045353</v>
      </c>
      <c r="BV37" s="14">
        <f t="shared" si="18"/>
        <v>0.39465123071155611</v>
      </c>
      <c r="BW37" s="14">
        <f t="shared" si="18"/>
        <v>0.39481745705771337</v>
      </c>
      <c r="BX37" s="14">
        <f t="shared" si="18"/>
        <v>0.39484337025824801</v>
      </c>
      <c r="BY37" s="14">
        <f t="shared" si="18"/>
        <v>0.39484741020089792</v>
      </c>
      <c r="BZ37" s="14">
        <f t="shared" si="18"/>
        <v>0.39484804004704999</v>
      </c>
      <c r="CA37" s="14">
        <f t="shared" si="18"/>
        <v>0.39484813824322279</v>
      </c>
      <c r="CB37" s="14">
        <f t="shared" si="18"/>
        <v>0.39484815355250286</v>
      </c>
      <c r="CC37" s="14">
        <f t="shared" si="18"/>
        <v>0.39484815593929717</v>
      </c>
      <c r="CD37" s="14">
        <f t="shared" si="18"/>
        <v>0.39484815631141046</v>
      </c>
      <c r="CE37" s="14">
        <f t="shared" si="18"/>
        <v>0.39484815636942483</v>
      </c>
      <c r="CF37" s="14">
        <f t="shared" si="18"/>
        <v>0.39484815637846954</v>
      </c>
      <c r="CG37" s="14">
        <f t="shared" si="18"/>
        <v>0.39484815637987963</v>
      </c>
      <c r="CH37" s="14">
        <f t="shared" si="18"/>
        <v>0.39484815638009951</v>
      </c>
      <c r="CI37" s="14">
        <f t="shared" si="18"/>
        <v>0.39484815638013382</v>
      </c>
      <c r="CJ37" s="14">
        <f t="shared" si="18"/>
        <v>0.39484815638013915</v>
      </c>
      <c r="CK37" s="14">
        <f t="shared" si="18"/>
        <v>0.39484815638013998</v>
      </c>
      <c r="CL37" s="14">
        <f t="shared" si="18"/>
        <v>0.39484815638014015</v>
      </c>
      <c r="CM37" s="14">
        <f t="shared" si="18"/>
        <v>0.39484815638014015</v>
      </c>
      <c r="CN37" s="14">
        <f t="shared" si="18"/>
        <v>0.39484815638014015</v>
      </c>
      <c r="CO37" s="14">
        <f t="shared" si="18"/>
        <v>0.39484815638014015</v>
      </c>
      <c r="CP37" s="14">
        <f t="shared" si="18"/>
        <v>0.39484815638014015</v>
      </c>
      <c r="CQ37" s="14">
        <f t="shared" si="18"/>
        <v>0.39484815638014015</v>
      </c>
      <c r="CR37" s="14">
        <f t="shared" si="18"/>
        <v>0.39484815638014015</v>
      </c>
      <c r="CS37" s="14">
        <f t="shared" si="18"/>
        <v>0.39484815638014015</v>
      </c>
      <c r="CT37" s="14">
        <f t="shared" si="18"/>
        <v>0.39484815638014015</v>
      </c>
      <c r="CU37" s="14">
        <f t="shared" si="18"/>
        <v>0.39484815638014015</v>
      </c>
      <c r="CW37" s="23"/>
      <c r="CX37" s="1">
        <f t="shared" si="14"/>
        <v>300</v>
      </c>
      <c r="CY37" s="14">
        <f t="shared" si="15"/>
        <v>190.99660244288896</v>
      </c>
      <c r="CZ37" s="14">
        <f t="shared" si="10"/>
        <v>166.75399096606577</v>
      </c>
      <c r="DA37" s="14">
        <f t="shared" si="10"/>
        <v>152.86143350061792</v>
      </c>
      <c r="DB37" s="14">
        <f t="shared" si="10"/>
        <v>140.66339849143097</v>
      </c>
      <c r="DC37" s="14">
        <f t="shared" si="10"/>
        <v>129.0381904791405</v>
      </c>
      <c r="DD37" s="14">
        <f t="shared" si="10"/>
        <v>117.90807156369655</v>
      </c>
      <c r="DE37" s="14">
        <f t="shared" si="10"/>
        <v>107.33675338457077</v>
      </c>
      <c r="DF37" s="14">
        <f t="shared" si="10"/>
        <v>97.399229784158194</v>
      </c>
      <c r="DG37" s="14">
        <f t="shared" si="10"/>
        <v>88.162310442393093</v>
      </c>
      <c r="DH37" s="14">
        <f t="shared" si="10"/>
        <v>79.68130454614807</v>
      </c>
      <c r="DI37" s="14">
        <f t="shared" si="10"/>
        <v>71.999302704183933</v>
      </c>
      <c r="DJ37" s="14">
        <f t="shared" si="10"/>
        <v>65.14710030395652</v>
      </c>
      <c r="DK37" s="14">
        <f t="shared" si="10"/>
        <v>59.143450646373928</v>
      </c>
      <c r="DL37" s="14">
        <f t="shared" si="10"/>
        <v>53.995562183683887</v>
      </c>
      <c r="DM37" s="14">
        <f t="shared" si="10"/>
        <v>49.699781702290956</v>
      </c>
      <c r="DN37" s="14">
        <f t="shared" si="10"/>
        <v>46.242408254245966</v>
      </c>
      <c r="DO37" s="14">
        <f t="shared" si="10"/>
        <v>43.600585421490571</v>
      </c>
      <c r="DP37" s="14">
        <f t="shared" si="10"/>
        <v>41.743224978200331</v>
      </c>
      <c r="DQ37" s="14">
        <f t="shared" si="10"/>
        <v>40.63192285902803</v>
      </c>
      <c r="DR37" s="14">
        <f t="shared" si="10"/>
        <v>40.221837654286013</v>
      </c>
      <c r="DS37" s="14">
        <f t="shared" si="10"/>
        <v>40.462511661497935</v>
      </c>
      <c r="DT37" s="14">
        <f t="shared" si="10"/>
        <v>41.298623913673524</v>
      </c>
      <c r="DU37" s="14">
        <f t="shared" si="10"/>
        <v>42.670672818371159</v>
      </c>
      <c r="DV37" s="14">
        <f t="shared" si="10"/>
        <v>44.515592533278415</v>
      </c>
      <c r="DW37" s="14">
        <f t="shared" si="10"/>
        <v>46.767311678464637</v>
      </c>
      <c r="DX37" s="14">
        <f t="shared" si="10"/>
        <v>49.35726540339531</v>
      </c>
      <c r="DY37" s="14">
        <f t="shared" si="10"/>
        <v>52.214872383910993</v>
      </c>
      <c r="DZ37" s="14">
        <f t="shared" si="10"/>
        <v>55.267987406521392</v>
      </c>
      <c r="EA37" s="14">
        <f t="shared" si="10"/>
        <v>58.443338317957306</v>
      </c>
    </row>
    <row r="38" spans="5:131" x14ac:dyDescent="0.25">
      <c r="E38" s="19"/>
      <c r="F38" s="1">
        <v>300</v>
      </c>
      <c r="G38" s="6">
        <f t="shared" si="7"/>
        <v>279.60238189843892</v>
      </c>
      <c r="H38" s="6">
        <f t="shared" si="7"/>
        <v>259.39052202088465</v>
      </c>
      <c r="I38" s="6">
        <f t="shared" si="7"/>
        <v>239.54649894668268</v>
      </c>
      <c r="J38" s="6">
        <f t="shared" si="7"/>
        <v>220.24516848858124</v>
      </c>
      <c r="K38" s="6">
        <f t="shared" si="7"/>
        <v>201.65088514652382</v>
      </c>
      <c r="L38" s="6">
        <f t="shared" si="7"/>
        <v>183.91459994832246</v>
      </c>
      <c r="M38" s="6">
        <f t="shared" si="7"/>
        <v>167.1714238014284</v>
      </c>
      <c r="N38" s="6">
        <f t="shared" si="7"/>
        <v>151.53871817574748</v>
      </c>
      <c r="O38" s="6">
        <f t="shared" si="7"/>
        <v>137.11474516914922</v>
      </c>
      <c r="P38" s="6">
        <f t="shared" si="7"/>
        <v>123.97787905131733</v>
      </c>
      <c r="Q38" s="6">
        <f t="shared" si="7"/>
        <v>112.18635342884832</v>
      </c>
      <c r="R38" s="6">
        <f t="shared" si="7"/>
        <v>101.77849413799117</v>
      </c>
      <c r="S38" s="6">
        <f t="shared" si="7"/>
        <v>92.773369328193212</v>
      </c>
      <c r="T38" s="6">
        <f t="shared" si="7"/>
        <v>85.171775882257649</v>
      </c>
      <c r="U38" s="6">
        <f t="shared" si="7"/>
        <v>78.957475664874991</v>
      </c>
      <c r="V38" s="6">
        <f t="shared" si="7"/>
        <v>74.098595852212839</v>
      </c>
      <c r="W38" s="6">
        <f t="shared" si="7"/>
        <v>70.549114002070169</v>
      </c>
      <c r="X38" s="6">
        <f t="shared" si="7"/>
        <v>68.250359397994316</v>
      </c>
      <c r="Y38" s="6">
        <f t="shared" si="7"/>
        <v>67.132476096138333</v>
      </c>
      <c r="Z38" s="6">
        <f t="shared" si="7"/>
        <v>67.115808466880353</v>
      </c>
      <c r="AA38" s="6">
        <f t="shared" si="7"/>
        <v>68.112185350315173</v>
      </c>
      <c r="AB38" s="6">
        <f t="shared" si="7"/>
        <v>70.026092922154888</v>
      </c>
      <c r="AC38" s="6">
        <f t="shared" si="7"/>
        <v>72.755737982537227</v>
      </c>
      <c r="AD38" s="6">
        <f t="shared" si="7"/>
        <v>76.194011996859032</v>
      </c>
      <c r="AE38" s="6">
        <f t="shared" si="7"/>
        <v>80.229371599451554</v>
      </c>
      <c r="AF38" s="6">
        <f t="shared" si="7"/>
        <v>84.746653568698207</v>
      </c>
      <c r="AG38" s="6">
        <f t="shared" si="7"/>
        <v>89.627841977896324</v>
      </c>
      <c r="AH38" s="6">
        <f t="shared" si="11"/>
        <v>94.752803044535398</v>
      </c>
      <c r="AI38" s="1">
        <v>100</v>
      </c>
      <c r="AJ38" s="3"/>
      <c r="AK38" s="18"/>
      <c r="AL38" s="14">
        <f t="shared" si="12"/>
        <v>-1076400000</v>
      </c>
      <c r="AM38" s="14">
        <f t="shared" si="8"/>
        <v>-1002494721.9862058</v>
      </c>
      <c r="AN38" s="14">
        <f t="shared" si="8"/>
        <v>-929270179.55348539</v>
      </c>
      <c r="AO38" s="14">
        <f t="shared" si="8"/>
        <v>-857393377.56605101</v>
      </c>
      <c r="AP38" s="14">
        <f t="shared" si="8"/>
        <v>-787504382.0639019</v>
      </c>
      <c r="AQ38" s="14">
        <f t="shared" si="8"/>
        <v>-720204124.28640616</v>
      </c>
      <c r="AR38" s="14">
        <f t="shared" si="8"/>
        <v>-656043642.9386934</v>
      </c>
      <c r="AS38" s="14">
        <f t="shared" si="8"/>
        <v>-595515102.34116018</v>
      </c>
      <c r="AT38" s="14">
        <f t="shared" si="8"/>
        <v>-539044817.80439878</v>
      </c>
      <c r="AU38" s="14">
        <f t="shared" si="8"/>
        <v>-486988403.95702577</v>
      </c>
      <c r="AV38" s="14">
        <f t="shared" si="8"/>
        <v>-439628045.79576576</v>
      </c>
      <c r="AW38" s="14">
        <f t="shared" si="8"/>
        <v>-397171784.53223389</v>
      </c>
      <c r="AX38" s="14">
        <f t="shared" si="8"/>
        <v>-359754618.35368681</v>
      </c>
      <c r="AY38" s="14">
        <f t="shared" si="8"/>
        <v>-327441147.71531916</v>
      </c>
      <c r="AZ38" s="14">
        <f t="shared" si="8"/>
        <v>-300229449.28156084</v>
      </c>
      <c r="BA38" s="14">
        <f t="shared" si="8"/>
        <v>-278055843.30786979</v>
      </c>
      <c r="BB38" s="14">
        <f t="shared" si="8"/>
        <v>-260800224.9599368</v>
      </c>
      <c r="BC38" s="14">
        <f t="shared" si="8"/>
        <v>-248291657.61529362</v>
      </c>
      <c r="BD38" s="14">
        <f t="shared" si="8"/>
        <v>-240313970.80023578</v>
      </c>
      <c r="BE38" s="14">
        <f t="shared" si="8"/>
        <v>-236611161.2819317</v>
      </c>
      <c r="BF38" s="14">
        <f t="shared" si="8"/>
        <v>-236892456.77736324</v>
      </c>
      <c r="BG38" s="14">
        <f t="shared" si="8"/>
        <v>-240836961.81576768</v>
      </c>
      <c r="BH38" s="14">
        <f t="shared" si="8"/>
        <v>-248097859.35651574</v>
      </c>
      <c r="BI38" s="14">
        <f t="shared" si="8"/>
        <v>-258306185.91013339</v>
      </c>
      <c r="BJ38" s="14">
        <f t="shared" si="8"/>
        <v>-271074229.73794615</v>
      </c>
      <c r="BK38" s="14">
        <f t="shared" si="8"/>
        <v>-285998620.43119395</v>
      </c>
      <c r="BL38" s="14">
        <f t="shared" si="8"/>
        <v>-302663184.55089301</v>
      </c>
      <c r="BM38" s="14">
        <f t="shared" si="8"/>
        <v>-320641638.11411601</v>
      </c>
      <c r="BN38" s="14">
        <f t="shared" si="8"/>
        <v>-339500175.56428266</v>
      </c>
      <c r="BO38" s="14">
        <f t="shared" si="8"/>
        <v>-358800000</v>
      </c>
      <c r="BQ38" s="21"/>
      <c r="BR38" s="1">
        <v>0</v>
      </c>
      <c r="BS38" s="14">
        <f t="shared" ref="BS38:CU38" si="19">$C$16/($C$17-$C$18*BR38)</f>
        <v>0.3415922014622258</v>
      </c>
      <c r="BT38" s="14">
        <f t="shared" si="19"/>
        <v>0.3867162803971414</v>
      </c>
      <c r="BU38" s="14">
        <f t="shared" si="19"/>
        <v>0.39358441341045353</v>
      </c>
      <c r="BV38" s="14">
        <f t="shared" si="19"/>
        <v>0.39465123071155611</v>
      </c>
      <c r="BW38" s="14">
        <f t="shared" si="19"/>
        <v>0.39481745705771337</v>
      </c>
      <c r="BX38" s="14">
        <f t="shared" si="19"/>
        <v>0.39484337025824801</v>
      </c>
      <c r="BY38" s="14">
        <f t="shared" si="19"/>
        <v>0.39484741020089792</v>
      </c>
      <c r="BZ38" s="14">
        <f t="shared" si="19"/>
        <v>0.39484804004704999</v>
      </c>
      <c r="CA38" s="14">
        <f t="shared" si="19"/>
        <v>0.39484813824322279</v>
      </c>
      <c r="CB38" s="14">
        <f t="shared" si="19"/>
        <v>0.39484815355250286</v>
      </c>
      <c r="CC38" s="14">
        <f t="shared" si="19"/>
        <v>0.39484815593929717</v>
      </c>
      <c r="CD38" s="14">
        <f t="shared" si="19"/>
        <v>0.39484815631141046</v>
      </c>
      <c r="CE38" s="14">
        <f t="shared" si="19"/>
        <v>0.39484815636942483</v>
      </c>
      <c r="CF38" s="14">
        <f t="shared" si="19"/>
        <v>0.39484815637846954</v>
      </c>
      <c r="CG38" s="14">
        <f t="shared" si="19"/>
        <v>0.39484815637987963</v>
      </c>
      <c r="CH38" s="14">
        <f t="shared" si="19"/>
        <v>0.39484815638009951</v>
      </c>
      <c r="CI38" s="14">
        <f t="shared" si="19"/>
        <v>0.39484815638013382</v>
      </c>
      <c r="CJ38" s="14">
        <f t="shared" si="19"/>
        <v>0.39484815638013915</v>
      </c>
      <c r="CK38" s="14">
        <f t="shared" si="19"/>
        <v>0.39484815638013998</v>
      </c>
      <c r="CL38" s="14">
        <f t="shared" si="19"/>
        <v>0.39484815638014015</v>
      </c>
      <c r="CM38" s="14">
        <f t="shared" si="19"/>
        <v>0.39484815638014015</v>
      </c>
      <c r="CN38" s="14">
        <f t="shared" si="19"/>
        <v>0.39484815638014015</v>
      </c>
      <c r="CO38" s="14">
        <f t="shared" si="19"/>
        <v>0.39484815638014015</v>
      </c>
      <c r="CP38" s="14">
        <f t="shared" si="19"/>
        <v>0.39484815638014015</v>
      </c>
      <c r="CQ38" s="14">
        <f t="shared" si="19"/>
        <v>0.39484815638014015</v>
      </c>
      <c r="CR38" s="14">
        <f t="shared" si="19"/>
        <v>0.39484815638014015</v>
      </c>
      <c r="CS38" s="14">
        <f t="shared" si="19"/>
        <v>0.39484815638014015</v>
      </c>
      <c r="CT38" s="14">
        <f t="shared" si="19"/>
        <v>0.39484815638014015</v>
      </c>
      <c r="CU38" s="14">
        <f t="shared" si="19"/>
        <v>0.39484815638014015</v>
      </c>
      <c r="CW38" s="23"/>
      <c r="CX38" s="1">
        <f t="shared" si="14"/>
        <v>300</v>
      </c>
      <c r="CY38" s="14">
        <f t="shared" si="15"/>
        <v>190.99660244288896</v>
      </c>
      <c r="CZ38" s="14">
        <f t="shared" si="10"/>
        <v>166.75399096606577</v>
      </c>
      <c r="DA38" s="14">
        <f t="shared" si="10"/>
        <v>152.86143350061792</v>
      </c>
      <c r="DB38" s="14">
        <f t="shared" si="10"/>
        <v>140.66339849143097</v>
      </c>
      <c r="DC38" s="14">
        <f t="shared" si="10"/>
        <v>129.0381904791405</v>
      </c>
      <c r="DD38" s="14">
        <f t="shared" si="10"/>
        <v>117.90807156369655</v>
      </c>
      <c r="DE38" s="14">
        <f t="shared" si="10"/>
        <v>107.33675338457077</v>
      </c>
      <c r="DF38" s="14">
        <f t="shared" si="10"/>
        <v>97.399229784158209</v>
      </c>
      <c r="DG38" s="14">
        <f t="shared" si="10"/>
        <v>88.162310442393107</v>
      </c>
      <c r="DH38" s="14">
        <f t="shared" si="10"/>
        <v>79.681304546148084</v>
      </c>
      <c r="DI38" s="14">
        <f t="shared" si="10"/>
        <v>71.999302704183933</v>
      </c>
      <c r="DJ38" s="14">
        <f t="shared" si="10"/>
        <v>65.14710030395652</v>
      </c>
      <c r="DK38" s="14">
        <f t="shared" si="10"/>
        <v>59.143450646373928</v>
      </c>
      <c r="DL38" s="14">
        <f t="shared" si="10"/>
        <v>53.995562183683887</v>
      </c>
      <c r="DM38" s="14">
        <f t="shared" si="10"/>
        <v>49.699781702290956</v>
      </c>
      <c r="DN38" s="14">
        <f t="shared" si="10"/>
        <v>46.242408254245966</v>
      </c>
      <c r="DO38" s="14">
        <f t="shared" si="10"/>
        <v>43.600585421490571</v>
      </c>
      <c r="DP38" s="14">
        <f t="shared" si="10"/>
        <v>41.743224978200331</v>
      </c>
      <c r="DQ38" s="14">
        <f t="shared" si="10"/>
        <v>40.63192285902803</v>
      </c>
      <c r="DR38" s="14">
        <f t="shared" si="10"/>
        <v>40.221837654286013</v>
      </c>
      <c r="DS38" s="14">
        <f t="shared" si="10"/>
        <v>40.462511661497935</v>
      </c>
      <c r="DT38" s="14">
        <f t="shared" si="10"/>
        <v>41.298623913673524</v>
      </c>
      <c r="DU38" s="14">
        <f t="shared" si="10"/>
        <v>42.670672818371159</v>
      </c>
      <c r="DV38" s="14">
        <f t="shared" si="10"/>
        <v>44.515592533278415</v>
      </c>
      <c r="DW38" s="14">
        <f t="shared" si="10"/>
        <v>46.767311678464637</v>
      </c>
      <c r="DX38" s="14">
        <f t="shared" si="10"/>
        <v>49.35726540339531</v>
      </c>
      <c r="DY38" s="14">
        <f t="shared" si="10"/>
        <v>52.214872383910993</v>
      </c>
      <c r="DZ38" s="14">
        <f t="shared" si="10"/>
        <v>55.267987406521392</v>
      </c>
      <c r="EA38" s="14">
        <f t="shared" si="10"/>
        <v>58.443338317957306</v>
      </c>
    </row>
    <row r="39" spans="5:131" x14ac:dyDescent="0.25">
      <c r="E39" s="19"/>
      <c r="F39" s="1">
        <v>300</v>
      </c>
      <c r="G39" s="6">
        <f t="shared" si="7"/>
        <v>279.60238189843892</v>
      </c>
      <c r="H39" s="6">
        <f t="shared" si="7"/>
        <v>259.39052202088465</v>
      </c>
      <c r="I39" s="6">
        <f t="shared" si="7"/>
        <v>239.54649894668268</v>
      </c>
      <c r="J39" s="6">
        <f t="shared" si="7"/>
        <v>220.24516848858124</v>
      </c>
      <c r="K39" s="6">
        <f t="shared" si="7"/>
        <v>201.65088514652382</v>
      </c>
      <c r="L39" s="6">
        <f t="shared" si="7"/>
        <v>183.91459994832246</v>
      </c>
      <c r="M39" s="6">
        <f t="shared" si="7"/>
        <v>167.17142380142843</v>
      </c>
      <c r="N39" s="6">
        <f t="shared" si="7"/>
        <v>151.5387181757475</v>
      </c>
      <c r="O39" s="6">
        <f t="shared" si="7"/>
        <v>137.11474516914922</v>
      </c>
      <c r="P39" s="6">
        <f t="shared" si="7"/>
        <v>123.97787905131733</v>
      </c>
      <c r="Q39" s="6">
        <f t="shared" si="7"/>
        <v>112.18635342884832</v>
      </c>
      <c r="R39" s="6">
        <f t="shared" si="7"/>
        <v>101.77849413799117</v>
      </c>
      <c r="S39" s="6">
        <f t="shared" si="7"/>
        <v>92.773369328193212</v>
      </c>
      <c r="T39" s="6">
        <f t="shared" si="7"/>
        <v>85.171775882257663</v>
      </c>
      <c r="U39" s="6">
        <f t="shared" si="7"/>
        <v>78.957475664875005</v>
      </c>
      <c r="V39" s="6">
        <f t="shared" si="7"/>
        <v>74.098595852212839</v>
      </c>
      <c r="W39" s="6">
        <f t="shared" si="7"/>
        <v>70.549114002070169</v>
      </c>
      <c r="X39" s="6">
        <f t="shared" si="7"/>
        <v>68.250359397994316</v>
      </c>
      <c r="Y39" s="6">
        <f t="shared" si="7"/>
        <v>67.132476096138333</v>
      </c>
      <c r="Z39" s="6">
        <f t="shared" si="7"/>
        <v>67.115808466880353</v>
      </c>
      <c r="AA39" s="6">
        <f t="shared" si="7"/>
        <v>68.112185350315173</v>
      </c>
      <c r="AB39" s="6">
        <f t="shared" si="7"/>
        <v>70.026092922154902</v>
      </c>
      <c r="AC39" s="6">
        <f t="shared" si="7"/>
        <v>72.755737982537255</v>
      </c>
      <c r="AD39" s="6">
        <f t="shared" si="7"/>
        <v>76.194011996859047</v>
      </c>
      <c r="AE39" s="6">
        <f t="shared" si="7"/>
        <v>80.229371599451554</v>
      </c>
      <c r="AF39" s="6">
        <f t="shared" si="7"/>
        <v>84.746653568698221</v>
      </c>
      <c r="AG39" s="6">
        <f t="shared" si="7"/>
        <v>89.627841977896338</v>
      </c>
      <c r="AH39" s="6">
        <f t="shared" si="11"/>
        <v>94.752803044535398</v>
      </c>
      <c r="AI39" s="1">
        <v>100</v>
      </c>
      <c r="AJ39" s="3"/>
      <c r="AK39" s="18"/>
      <c r="AL39" s="14">
        <f t="shared" si="12"/>
        <v>-1076400000</v>
      </c>
      <c r="AM39" s="14">
        <f t="shared" si="8"/>
        <v>-1002494721.9862058</v>
      </c>
      <c r="AN39" s="14">
        <f t="shared" si="8"/>
        <v>-929270179.55348539</v>
      </c>
      <c r="AO39" s="14">
        <f t="shared" si="8"/>
        <v>-857393377.56605101</v>
      </c>
      <c r="AP39" s="14">
        <f t="shared" si="8"/>
        <v>-787504382.0639019</v>
      </c>
      <c r="AQ39" s="14">
        <f t="shared" si="8"/>
        <v>-720204124.28640616</v>
      </c>
      <c r="AR39" s="14">
        <f t="shared" si="8"/>
        <v>-656043642.93869352</v>
      </c>
      <c r="AS39" s="14">
        <f t="shared" si="8"/>
        <v>-595515102.34116042</v>
      </c>
      <c r="AT39" s="14">
        <f t="shared" si="8"/>
        <v>-539044817.80439889</v>
      </c>
      <c r="AU39" s="14">
        <f t="shared" si="8"/>
        <v>-486988403.95702577</v>
      </c>
      <c r="AV39" s="14">
        <f t="shared" si="8"/>
        <v>-439628045.79576576</v>
      </c>
      <c r="AW39" s="14">
        <f t="shared" si="8"/>
        <v>-397171784.53223389</v>
      </c>
      <c r="AX39" s="14">
        <f t="shared" si="8"/>
        <v>-359754618.35368687</v>
      </c>
      <c r="AY39" s="14">
        <f t="shared" si="8"/>
        <v>-327441147.71531916</v>
      </c>
      <c r="AZ39" s="14">
        <f t="shared" si="8"/>
        <v>-300229449.28156084</v>
      </c>
      <c r="BA39" s="14">
        <f t="shared" si="8"/>
        <v>-278055843.30786985</v>
      </c>
      <c r="BB39" s="14">
        <f t="shared" si="8"/>
        <v>-260800224.9599368</v>
      </c>
      <c r="BC39" s="14">
        <f t="shared" si="8"/>
        <v>-248291657.61529362</v>
      </c>
      <c r="BD39" s="14">
        <f t="shared" si="8"/>
        <v>-240313970.80023581</v>
      </c>
      <c r="BE39" s="14">
        <f t="shared" si="8"/>
        <v>-236611161.2819317</v>
      </c>
      <c r="BF39" s="14">
        <f t="shared" si="8"/>
        <v>-236892456.77736324</v>
      </c>
      <c r="BG39" s="14">
        <f t="shared" si="8"/>
        <v>-240836961.81576768</v>
      </c>
      <c r="BH39" s="14">
        <f t="shared" si="8"/>
        <v>-248097859.35651579</v>
      </c>
      <c r="BI39" s="14">
        <f t="shared" si="8"/>
        <v>-258306185.91013345</v>
      </c>
      <c r="BJ39" s="14">
        <f t="shared" si="8"/>
        <v>-271074229.73794615</v>
      </c>
      <c r="BK39" s="14">
        <f t="shared" si="8"/>
        <v>-285998620.43119401</v>
      </c>
      <c r="BL39" s="14">
        <f t="shared" si="8"/>
        <v>-302663184.55089301</v>
      </c>
      <c r="BM39" s="14">
        <f t="shared" si="8"/>
        <v>-320641638.11411601</v>
      </c>
      <c r="BN39" s="14">
        <f t="shared" si="8"/>
        <v>-339500175.56428266</v>
      </c>
      <c r="BO39" s="14">
        <f t="shared" si="8"/>
        <v>-358800000</v>
      </c>
      <c r="BQ39" s="21"/>
      <c r="BR39" s="1">
        <v>0</v>
      </c>
      <c r="BS39" s="14">
        <f t="shared" ref="BS39:CU39" si="20">$C$16/($C$17-$C$18*BR39)</f>
        <v>0.3415922014622258</v>
      </c>
      <c r="BT39" s="14">
        <f t="shared" si="20"/>
        <v>0.3867162803971414</v>
      </c>
      <c r="BU39" s="14">
        <f t="shared" si="20"/>
        <v>0.39358441341045353</v>
      </c>
      <c r="BV39" s="14">
        <f t="shared" si="20"/>
        <v>0.39465123071155611</v>
      </c>
      <c r="BW39" s="14">
        <f t="shared" si="20"/>
        <v>0.39481745705771337</v>
      </c>
      <c r="BX39" s="14">
        <f t="shared" si="20"/>
        <v>0.39484337025824801</v>
      </c>
      <c r="BY39" s="14">
        <f t="shared" si="20"/>
        <v>0.39484741020089792</v>
      </c>
      <c r="BZ39" s="14">
        <f t="shared" si="20"/>
        <v>0.39484804004704999</v>
      </c>
      <c r="CA39" s="14">
        <f t="shared" si="20"/>
        <v>0.39484813824322279</v>
      </c>
      <c r="CB39" s="14">
        <f t="shared" si="20"/>
        <v>0.39484815355250286</v>
      </c>
      <c r="CC39" s="14">
        <f t="shared" si="20"/>
        <v>0.39484815593929717</v>
      </c>
      <c r="CD39" s="14">
        <f t="shared" si="20"/>
        <v>0.39484815631141046</v>
      </c>
      <c r="CE39" s="14">
        <f t="shared" si="20"/>
        <v>0.39484815636942483</v>
      </c>
      <c r="CF39" s="14">
        <f t="shared" si="20"/>
        <v>0.39484815637846954</v>
      </c>
      <c r="CG39" s="14">
        <f t="shared" si="20"/>
        <v>0.39484815637987963</v>
      </c>
      <c r="CH39" s="14">
        <f t="shared" si="20"/>
        <v>0.39484815638009951</v>
      </c>
      <c r="CI39" s="14">
        <f t="shared" si="20"/>
        <v>0.39484815638013382</v>
      </c>
      <c r="CJ39" s="14">
        <f t="shared" si="20"/>
        <v>0.39484815638013915</v>
      </c>
      <c r="CK39" s="14">
        <f t="shared" si="20"/>
        <v>0.39484815638013998</v>
      </c>
      <c r="CL39" s="14">
        <f t="shared" si="20"/>
        <v>0.39484815638014015</v>
      </c>
      <c r="CM39" s="14">
        <f t="shared" si="20"/>
        <v>0.39484815638014015</v>
      </c>
      <c r="CN39" s="14">
        <f t="shared" si="20"/>
        <v>0.39484815638014015</v>
      </c>
      <c r="CO39" s="14">
        <f t="shared" si="20"/>
        <v>0.39484815638014015</v>
      </c>
      <c r="CP39" s="14">
        <f t="shared" si="20"/>
        <v>0.39484815638014015</v>
      </c>
      <c r="CQ39" s="14">
        <f t="shared" si="20"/>
        <v>0.39484815638014015</v>
      </c>
      <c r="CR39" s="14">
        <f t="shared" si="20"/>
        <v>0.39484815638014015</v>
      </c>
      <c r="CS39" s="14">
        <f t="shared" si="20"/>
        <v>0.39484815638014015</v>
      </c>
      <c r="CT39" s="14">
        <f t="shared" si="20"/>
        <v>0.39484815638014015</v>
      </c>
      <c r="CU39" s="14">
        <f t="shared" si="20"/>
        <v>0.39484815638014015</v>
      </c>
      <c r="CW39" s="23"/>
      <c r="CX39" s="1">
        <f t="shared" si="14"/>
        <v>300</v>
      </c>
      <c r="CY39" s="14">
        <f t="shared" si="15"/>
        <v>190.99660244288896</v>
      </c>
      <c r="CZ39" s="14">
        <f t="shared" si="10"/>
        <v>166.75399096606577</v>
      </c>
      <c r="DA39" s="14">
        <f t="shared" si="10"/>
        <v>152.86143350061792</v>
      </c>
      <c r="DB39" s="14">
        <f t="shared" si="10"/>
        <v>140.66339849143097</v>
      </c>
      <c r="DC39" s="14">
        <f t="shared" si="10"/>
        <v>129.0381904791405</v>
      </c>
      <c r="DD39" s="14">
        <f t="shared" si="10"/>
        <v>117.90807156369655</v>
      </c>
      <c r="DE39" s="14">
        <f t="shared" si="10"/>
        <v>107.3367533845708</v>
      </c>
      <c r="DF39" s="14">
        <f t="shared" si="10"/>
        <v>97.399229784158223</v>
      </c>
      <c r="DG39" s="14">
        <f t="shared" si="10"/>
        <v>88.162310442393121</v>
      </c>
      <c r="DH39" s="14">
        <f t="shared" si="10"/>
        <v>79.681304546148084</v>
      </c>
      <c r="DI39" s="14">
        <f t="shared" si="10"/>
        <v>71.999302704183933</v>
      </c>
      <c r="DJ39" s="14">
        <f t="shared" si="10"/>
        <v>65.147100303956535</v>
      </c>
      <c r="DK39" s="14">
        <f t="shared" si="10"/>
        <v>59.143450646373942</v>
      </c>
      <c r="DL39" s="14">
        <f t="shared" si="10"/>
        <v>53.995562183683901</v>
      </c>
      <c r="DM39" s="14">
        <f t="shared" si="10"/>
        <v>49.69978170229097</v>
      </c>
      <c r="DN39" s="14">
        <f t="shared" si="10"/>
        <v>46.242408254245966</v>
      </c>
      <c r="DO39" s="14">
        <f t="shared" si="10"/>
        <v>43.600585421490571</v>
      </c>
      <c r="DP39" s="14">
        <f t="shared" si="10"/>
        <v>41.743224978200331</v>
      </c>
      <c r="DQ39" s="14">
        <f t="shared" si="10"/>
        <v>40.63192285902803</v>
      </c>
      <c r="DR39" s="14">
        <f t="shared" si="10"/>
        <v>40.221837654286013</v>
      </c>
      <c r="DS39" s="14">
        <f t="shared" si="10"/>
        <v>40.462511661497935</v>
      </c>
      <c r="DT39" s="14">
        <f t="shared" si="10"/>
        <v>41.298623913673538</v>
      </c>
      <c r="DU39" s="14">
        <f t="shared" si="10"/>
        <v>42.670672818371173</v>
      </c>
      <c r="DV39" s="14">
        <f t="shared" si="10"/>
        <v>44.515592533278422</v>
      </c>
      <c r="DW39" s="14">
        <f t="shared" si="10"/>
        <v>46.767311678464644</v>
      </c>
      <c r="DX39" s="14">
        <f t="shared" si="10"/>
        <v>49.357265403395317</v>
      </c>
      <c r="DY39" s="14">
        <f t="shared" si="10"/>
        <v>52.214872383911</v>
      </c>
      <c r="DZ39" s="14">
        <f t="shared" si="10"/>
        <v>55.267987406521392</v>
      </c>
      <c r="EA39" s="14">
        <f t="shared" si="10"/>
        <v>58.443338317957306</v>
      </c>
    </row>
    <row r="40" spans="5:131" x14ac:dyDescent="0.25">
      <c r="E40" s="19"/>
      <c r="F40" s="1">
        <v>300</v>
      </c>
      <c r="G40" s="6">
        <f t="shared" si="7"/>
        <v>279.60238189843892</v>
      </c>
      <c r="H40" s="6">
        <f t="shared" si="7"/>
        <v>259.39052202088465</v>
      </c>
      <c r="I40" s="6">
        <f t="shared" si="7"/>
        <v>239.54649894668273</v>
      </c>
      <c r="J40" s="6">
        <f t="shared" si="7"/>
        <v>220.24516848858133</v>
      </c>
      <c r="K40" s="6">
        <f t="shared" si="7"/>
        <v>201.65088514652393</v>
      </c>
      <c r="L40" s="6">
        <f t="shared" si="7"/>
        <v>183.91459994832252</v>
      </c>
      <c r="M40" s="6">
        <f t="shared" si="7"/>
        <v>167.17142380142849</v>
      </c>
      <c r="N40" s="6">
        <f t="shared" si="7"/>
        <v>151.53871817574753</v>
      </c>
      <c r="O40" s="6">
        <f t="shared" si="7"/>
        <v>137.11474516914927</v>
      </c>
      <c r="P40" s="6">
        <f t="shared" si="7"/>
        <v>123.97787905131739</v>
      </c>
      <c r="Q40" s="6">
        <f t="shared" si="7"/>
        <v>112.18635342884835</v>
      </c>
      <c r="R40" s="6">
        <f t="shared" si="7"/>
        <v>101.77849413799122</v>
      </c>
      <c r="S40" s="6">
        <f t="shared" si="7"/>
        <v>92.77336932819324</v>
      </c>
      <c r="T40" s="6">
        <f t="shared" si="7"/>
        <v>85.171775882257691</v>
      </c>
      <c r="U40" s="6">
        <f t="shared" si="7"/>
        <v>78.957475664875034</v>
      </c>
      <c r="V40" s="6">
        <f t="shared" si="7"/>
        <v>74.098595852212853</v>
      </c>
      <c r="W40" s="6">
        <f t="shared" si="7"/>
        <v>70.549114002070183</v>
      </c>
      <c r="X40" s="6">
        <f t="shared" si="7"/>
        <v>68.25035939799433</v>
      </c>
      <c r="Y40" s="6">
        <f t="shared" si="7"/>
        <v>67.132476096138333</v>
      </c>
      <c r="Z40" s="6">
        <f t="shared" si="7"/>
        <v>67.115808466880353</v>
      </c>
      <c r="AA40" s="6">
        <f t="shared" si="7"/>
        <v>68.112185350315173</v>
      </c>
      <c r="AB40" s="6">
        <f t="shared" si="7"/>
        <v>70.026092922154902</v>
      </c>
      <c r="AC40" s="6">
        <f t="shared" si="7"/>
        <v>72.755737982537255</v>
      </c>
      <c r="AD40" s="6">
        <f t="shared" si="7"/>
        <v>76.194011996859047</v>
      </c>
      <c r="AE40" s="6">
        <f t="shared" si="7"/>
        <v>80.229371599451554</v>
      </c>
      <c r="AF40" s="6">
        <f t="shared" si="7"/>
        <v>84.746653568698221</v>
      </c>
      <c r="AG40" s="6">
        <f t="shared" si="7"/>
        <v>89.627841977896338</v>
      </c>
      <c r="AH40" s="6">
        <f t="shared" si="11"/>
        <v>94.752803044535398</v>
      </c>
      <c r="AI40" s="1">
        <v>100</v>
      </c>
      <c r="AJ40" s="3"/>
      <c r="AK40" s="18"/>
      <c r="AL40" s="14">
        <f t="shared" si="12"/>
        <v>-1076400000</v>
      </c>
      <c r="AM40" s="14">
        <f t="shared" si="8"/>
        <v>-1002494721.9862058</v>
      </c>
      <c r="AN40" s="14">
        <f t="shared" si="8"/>
        <v>-929270179.55348539</v>
      </c>
      <c r="AO40" s="14">
        <f t="shared" si="8"/>
        <v>-857393377.56605124</v>
      </c>
      <c r="AP40" s="14">
        <f t="shared" si="8"/>
        <v>-787504382.06390202</v>
      </c>
      <c r="AQ40" s="14">
        <f t="shared" si="8"/>
        <v>-720204124.2864064</v>
      </c>
      <c r="AR40" s="14">
        <f t="shared" si="8"/>
        <v>-656043642.93869376</v>
      </c>
      <c r="AS40" s="14">
        <f t="shared" si="8"/>
        <v>-595515102.34116054</v>
      </c>
      <c r="AT40" s="14">
        <f t="shared" si="8"/>
        <v>-539044817.80439889</v>
      </c>
      <c r="AU40" s="14">
        <f t="shared" si="8"/>
        <v>-486988403.95702589</v>
      </c>
      <c r="AV40" s="14">
        <f t="shared" si="8"/>
        <v>-439628045.79576588</v>
      </c>
      <c r="AW40" s="14">
        <f t="shared" si="8"/>
        <v>-397171784.53223401</v>
      </c>
      <c r="AX40" s="14">
        <f t="shared" si="8"/>
        <v>-359754618.35368705</v>
      </c>
      <c r="AY40" s="14">
        <f t="shared" si="8"/>
        <v>-327441147.71531922</v>
      </c>
      <c r="AZ40" s="14">
        <f t="shared" si="8"/>
        <v>-300229449.28156096</v>
      </c>
      <c r="BA40" s="14">
        <f t="shared" si="8"/>
        <v>-278055843.30786997</v>
      </c>
      <c r="BB40" s="14">
        <f t="shared" si="8"/>
        <v>-260800224.95993683</v>
      </c>
      <c r="BC40" s="14">
        <f t="shared" si="8"/>
        <v>-248291657.61529368</v>
      </c>
      <c r="BD40" s="14">
        <f t="shared" si="8"/>
        <v>-240313970.80023587</v>
      </c>
      <c r="BE40" s="14">
        <f t="shared" si="8"/>
        <v>-236611161.28193176</v>
      </c>
      <c r="BF40" s="14">
        <f t="shared" si="8"/>
        <v>-236892456.7773633</v>
      </c>
      <c r="BG40" s="14">
        <f t="shared" si="8"/>
        <v>-240836961.81576768</v>
      </c>
      <c r="BH40" s="14">
        <f t="shared" si="8"/>
        <v>-248097859.35651579</v>
      </c>
      <c r="BI40" s="14">
        <f t="shared" si="8"/>
        <v>-258306185.91013345</v>
      </c>
      <c r="BJ40" s="14">
        <f t="shared" si="8"/>
        <v>-271074229.73794615</v>
      </c>
      <c r="BK40" s="14">
        <f t="shared" si="8"/>
        <v>-285998620.43119401</v>
      </c>
      <c r="BL40" s="14">
        <f t="shared" si="8"/>
        <v>-302663184.55089301</v>
      </c>
      <c r="BM40" s="14">
        <f t="shared" si="8"/>
        <v>-320641638.11411601</v>
      </c>
      <c r="BN40" s="14">
        <f t="shared" si="8"/>
        <v>-339500175.56428266</v>
      </c>
      <c r="BO40" s="14">
        <f t="shared" si="8"/>
        <v>-358800000</v>
      </c>
      <c r="BQ40" s="21"/>
      <c r="BR40" s="1">
        <v>0</v>
      </c>
      <c r="BS40" s="14">
        <f t="shared" ref="BS40:CU40" si="21">$C$16/($C$17-$C$18*BR40)</f>
        <v>0.3415922014622258</v>
      </c>
      <c r="BT40" s="14">
        <f t="shared" si="21"/>
        <v>0.3867162803971414</v>
      </c>
      <c r="BU40" s="14">
        <f t="shared" si="21"/>
        <v>0.39358441341045353</v>
      </c>
      <c r="BV40" s="14">
        <f t="shared" si="21"/>
        <v>0.39465123071155611</v>
      </c>
      <c r="BW40" s="14">
        <f t="shared" si="21"/>
        <v>0.39481745705771337</v>
      </c>
      <c r="BX40" s="14">
        <f t="shared" si="21"/>
        <v>0.39484337025824801</v>
      </c>
      <c r="BY40" s="14">
        <f t="shared" si="21"/>
        <v>0.39484741020089792</v>
      </c>
      <c r="BZ40" s="14">
        <f t="shared" si="21"/>
        <v>0.39484804004704999</v>
      </c>
      <c r="CA40" s="14">
        <f t="shared" si="21"/>
        <v>0.39484813824322279</v>
      </c>
      <c r="CB40" s="14">
        <f t="shared" si="21"/>
        <v>0.39484815355250286</v>
      </c>
      <c r="CC40" s="14">
        <f t="shared" si="21"/>
        <v>0.39484815593929717</v>
      </c>
      <c r="CD40" s="14">
        <f t="shared" si="21"/>
        <v>0.39484815631141046</v>
      </c>
      <c r="CE40" s="14">
        <f t="shared" si="21"/>
        <v>0.39484815636942483</v>
      </c>
      <c r="CF40" s="14">
        <f t="shared" si="21"/>
        <v>0.39484815637846954</v>
      </c>
      <c r="CG40" s="14">
        <f t="shared" si="21"/>
        <v>0.39484815637987963</v>
      </c>
      <c r="CH40" s="14">
        <f t="shared" si="21"/>
        <v>0.39484815638009951</v>
      </c>
      <c r="CI40" s="14">
        <f t="shared" si="21"/>
        <v>0.39484815638013382</v>
      </c>
      <c r="CJ40" s="14">
        <f t="shared" si="21"/>
        <v>0.39484815638013915</v>
      </c>
      <c r="CK40" s="14">
        <f t="shared" si="21"/>
        <v>0.39484815638013998</v>
      </c>
      <c r="CL40" s="14">
        <f t="shared" si="21"/>
        <v>0.39484815638014015</v>
      </c>
      <c r="CM40" s="14">
        <f t="shared" si="21"/>
        <v>0.39484815638014015</v>
      </c>
      <c r="CN40" s="14">
        <f t="shared" si="21"/>
        <v>0.39484815638014015</v>
      </c>
      <c r="CO40" s="14">
        <f t="shared" si="21"/>
        <v>0.39484815638014015</v>
      </c>
      <c r="CP40" s="14">
        <f t="shared" si="21"/>
        <v>0.39484815638014015</v>
      </c>
      <c r="CQ40" s="14">
        <f t="shared" si="21"/>
        <v>0.39484815638014015</v>
      </c>
      <c r="CR40" s="14">
        <f t="shared" si="21"/>
        <v>0.39484815638014015</v>
      </c>
      <c r="CS40" s="14">
        <f t="shared" si="21"/>
        <v>0.39484815638014015</v>
      </c>
      <c r="CT40" s="14">
        <f t="shared" si="21"/>
        <v>0.39484815638014015</v>
      </c>
      <c r="CU40" s="14">
        <f t="shared" si="21"/>
        <v>0.39484815638014015</v>
      </c>
      <c r="CW40" s="23"/>
      <c r="CX40" s="1">
        <f t="shared" si="14"/>
        <v>300</v>
      </c>
      <c r="CY40" s="14">
        <f t="shared" si="15"/>
        <v>190.99660244288896</v>
      </c>
      <c r="CZ40" s="14">
        <f t="shared" si="10"/>
        <v>166.75399096606577</v>
      </c>
      <c r="DA40" s="14">
        <f t="shared" si="10"/>
        <v>152.86143350061795</v>
      </c>
      <c r="DB40" s="14">
        <f t="shared" si="10"/>
        <v>140.663398491431</v>
      </c>
      <c r="DC40" s="14">
        <f t="shared" si="10"/>
        <v>129.03819047914055</v>
      </c>
      <c r="DD40" s="14">
        <f t="shared" si="10"/>
        <v>117.90807156369661</v>
      </c>
      <c r="DE40" s="14">
        <f t="shared" si="10"/>
        <v>107.33675338457084</v>
      </c>
      <c r="DF40" s="14">
        <f t="shared" si="10"/>
        <v>97.399229784158237</v>
      </c>
      <c r="DG40" s="14">
        <f t="shared" si="10"/>
        <v>88.162310442393135</v>
      </c>
      <c r="DH40" s="14">
        <f t="shared" si="10"/>
        <v>79.681304546148112</v>
      </c>
      <c r="DI40" s="14">
        <f t="shared" si="10"/>
        <v>71.999302704183947</v>
      </c>
      <c r="DJ40" s="14">
        <f t="shared" si="10"/>
        <v>65.147100303956563</v>
      </c>
      <c r="DK40" s="14">
        <f t="shared" si="10"/>
        <v>59.143450646373957</v>
      </c>
      <c r="DL40" s="14">
        <f t="shared" si="10"/>
        <v>53.995562183683916</v>
      </c>
      <c r="DM40" s="14">
        <f t="shared" si="10"/>
        <v>49.699781702290984</v>
      </c>
      <c r="DN40" s="14">
        <f t="shared" si="10"/>
        <v>46.24240825424598</v>
      </c>
      <c r="DO40" s="14">
        <f t="shared" si="10"/>
        <v>43.600585421490578</v>
      </c>
      <c r="DP40" s="14">
        <f t="shared" si="10"/>
        <v>41.743224978200345</v>
      </c>
      <c r="DQ40" s="14">
        <f t="shared" si="10"/>
        <v>40.631922859028045</v>
      </c>
      <c r="DR40" s="14">
        <f t="shared" si="10"/>
        <v>40.22183765428602</v>
      </c>
      <c r="DS40" s="14">
        <f t="shared" si="10"/>
        <v>40.462511661497935</v>
      </c>
      <c r="DT40" s="14">
        <f t="shared" si="10"/>
        <v>41.298623913673538</v>
      </c>
      <c r="DU40" s="14">
        <f t="shared" si="10"/>
        <v>42.670672818371173</v>
      </c>
      <c r="DV40" s="14">
        <f t="shared" si="10"/>
        <v>44.515592533278422</v>
      </c>
      <c r="DW40" s="14">
        <f t="shared" si="10"/>
        <v>46.767311678464644</v>
      </c>
      <c r="DX40" s="14">
        <f t="shared" si="10"/>
        <v>49.357265403395317</v>
      </c>
      <c r="DY40" s="14">
        <f t="shared" si="10"/>
        <v>52.214872383911</v>
      </c>
      <c r="DZ40" s="14">
        <f t="shared" si="10"/>
        <v>55.267987406521392</v>
      </c>
      <c r="EA40" s="14">
        <f t="shared" si="10"/>
        <v>58.443338317957306</v>
      </c>
    </row>
    <row r="41" spans="5:131" x14ac:dyDescent="0.25">
      <c r="E41" s="19"/>
      <c r="F41" s="1">
        <v>300</v>
      </c>
      <c r="G41" s="6">
        <f t="shared" si="7"/>
        <v>279.60238189843892</v>
      </c>
      <c r="H41" s="6">
        <f t="shared" si="7"/>
        <v>259.39052202088476</v>
      </c>
      <c r="I41" s="6">
        <f t="shared" si="7"/>
        <v>239.54649894668282</v>
      </c>
      <c r="J41" s="6">
        <f t="shared" si="7"/>
        <v>220.24516848858138</v>
      </c>
      <c r="K41" s="6">
        <f t="shared" si="7"/>
        <v>201.65088514652399</v>
      </c>
      <c r="L41" s="6">
        <f t="shared" si="7"/>
        <v>183.91459994832258</v>
      </c>
      <c r="M41" s="6">
        <f t="shared" si="7"/>
        <v>167.17142380142852</v>
      </c>
      <c r="N41" s="6">
        <f t="shared" si="7"/>
        <v>151.53871817574756</v>
      </c>
      <c r="O41" s="6">
        <f t="shared" si="7"/>
        <v>137.11474516914927</v>
      </c>
      <c r="P41" s="6">
        <f t="shared" si="7"/>
        <v>123.97787905131739</v>
      </c>
      <c r="Q41" s="6">
        <f t="shared" si="7"/>
        <v>112.18635342884835</v>
      </c>
      <c r="R41" s="6">
        <f t="shared" si="7"/>
        <v>101.77849413799123</v>
      </c>
      <c r="S41" s="6">
        <f t="shared" si="7"/>
        <v>92.773369328193269</v>
      </c>
      <c r="T41" s="6">
        <f t="shared" si="7"/>
        <v>85.17177588225772</v>
      </c>
      <c r="U41" s="6">
        <f t="shared" si="7"/>
        <v>78.957475664875048</v>
      </c>
      <c r="V41" s="6">
        <f t="shared" si="7"/>
        <v>74.098595852212881</v>
      </c>
      <c r="W41" s="6">
        <f t="shared" si="7"/>
        <v>70.549114002070198</v>
      </c>
      <c r="X41" s="6">
        <f t="shared" si="7"/>
        <v>68.250359397994345</v>
      </c>
      <c r="Y41" s="6">
        <f t="shared" si="7"/>
        <v>67.132476096138362</v>
      </c>
      <c r="Z41" s="6">
        <f t="shared" si="7"/>
        <v>67.115808466880367</v>
      </c>
      <c r="AA41" s="6">
        <f t="shared" si="7"/>
        <v>68.112185350315187</v>
      </c>
      <c r="AB41" s="6">
        <f t="shared" si="7"/>
        <v>70.026092922154902</v>
      </c>
      <c r="AC41" s="6">
        <f t="shared" si="7"/>
        <v>72.755737982537255</v>
      </c>
      <c r="AD41" s="6">
        <f t="shared" si="7"/>
        <v>76.194011996859047</v>
      </c>
      <c r="AE41" s="6">
        <f t="shared" si="7"/>
        <v>80.229371599451582</v>
      </c>
      <c r="AF41" s="6">
        <f t="shared" si="7"/>
        <v>84.746653568698235</v>
      </c>
      <c r="AG41" s="6">
        <f t="shared" si="7"/>
        <v>89.627841977896338</v>
      </c>
      <c r="AH41" s="6">
        <f t="shared" si="11"/>
        <v>94.752803044535398</v>
      </c>
      <c r="AI41" s="1">
        <v>100</v>
      </c>
      <c r="AJ41" s="3"/>
      <c r="AK41" s="18"/>
      <c r="AL41" s="14">
        <f t="shared" si="12"/>
        <v>-1076400000</v>
      </c>
      <c r="AM41" s="14">
        <f t="shared" si="8"/>
        <v>-1002494721.9862058</v>
      </c>
      <c r="AN41" s="14">
        <f t="shared" si="8"/>
        <v>-929270179.55348551</v>
      </c>
      <c r="AO41" s="14">
        <f t="shared" si="8"/>
        <v>-857393377.56605148</v>
      </c>
      <c r="AP41" s="14">
        <f t="shared" si="8"/>
        <v>-787504382.06390226</v>
      </c>
      <c r="AQ41" s="14">
        <f t="shared" si="8"/>
        <v>-720204124.28640664</v>
      </c>
      <c r="AR41" s="14">
        <f t="shared" si="8"/>
        <v>-656043642.93869388</v>
      </c>
      <c r="AS41" s="14">
        <f t="shared" si="8"/>
        <v>-595515102.34116066</v>
      </c>
      <c r="AT41" s="14">
        <f t="shared" si="8"/>
        <v>-539044817.80439901</v>
      </c>
      <c r="AU41" s="14">
        <f t="shared" si="8"/>
        <v>-486988403.95702589</v>
      </c>
      <c r="AV41" s="14">
        <f t="shared" si="8"/>
        <v>-439628045.795766</v>
      </c>
      <c r="AW41" s="14">
        <f t="shared" si="8"/>
        <v>-397171784.53223413</v>
      </c>
      <c r="AX41" s="14">
        <f t="shared" si="8"/>
        <v>-359754618.35368717</v>
      </c>
      <c r="AY41" s="14">
        <f t="shared" si="8"/>
        <v>-327441147.71531934</v>
      </c>
      <c r="AZ41" s="14">
        <f t="shared" si="8"/>
        <v>-300229449.28156108</v>
      </c>
      <c r="BA41" s="14">
        <f t="shared" si="8"/>
        <v>-278055843.30787003</v>
      </c>
      <c r="BB41" s="14">
        <f t="shared" si="8"/>
        <v>-260800224.95993695</v>
      </c>
      <c r="BC41" s="14">
        <f t="shared" si="8"/>
        <v>-248291657.61529374</v>
      </c>
      <c r="BD41" s="14">
        <f t="shared" si="8"/>
        <v>-240313970.80023593</v>
      </c>
      <c r="BE41" s="14">
        <f t="shared" si="8"/>
        <v>-236611161.28193176</v>
      </c>
      <c r="BF41" s="14">
        <f t="shared" si="8"/>
        <v>-236892456.77736333</v>
      </c>
      <c r="BG41" s="14">
        <f t="shared" si="8"/>
        <v>-240836961.81576774</v>
      </c>
      <c r="BH41" s="14">
        <f t="shared" si="8"/>
        <v>-248097859.35651582</v>
      </c>
      <c r="BI41" s="14">
        <f t="shared" si="8"/>
        <v>-258306185.91013351</v>
      </c>
      <c r="BJ41" s="14">
        <f t="shared" ref="BJ41:BJ62" si="22">-($C$10*$C$9*AD10)/($C$7)</f>
        <v>-271074229.73794615</v>
      </c>
      <c r="BK41" s="14">
        <f t="shared" ref="BK41:BK62" si="23">-($C$10*$C$9*AE10)/($C$7)</f>
        <v>-285998620.43119407</v>
      </c>
      <c r="BL41" s="14">
        <f t="shared" ref="BL41:BL62" si="24">-($C$10*$C$9*AF10)/($C$7)</f>
        <v>-302663184.55089301</v>
      </c>
      <c r="BM41" s="14">
        <f t="shared" ref="BM41:BM62" si="25">-($C$10*$C$9*AG10)/($C$7)</f>
        <v>-320641638.11411607</v>
      </c>
      <c r="BN41" s="14">
        <f t="shared" ref="BN41:BN62" si="26">-($C$10*$C$9*AH10)/($C$7)</f>
        <v>-339500175.56428266</v>
      </c>
      <c r="BO41" s="14">
        <f t="shared" ref="BO41:BO62" si="27">-($C$10*$C$9*AI10)/($C$7)</f>
        <v>-358800000</v>
      </c>
      <c r="BQ41" s="21"/>
      <c r="BR41" s="1">
        <v>0</v>
      </c>
      <c r="BS41" s="14">
        <f t="shared" ref="BS41:CU41" si="28">$C$16/($C$17-$C$18*BR41)</f>
        <v>0.3415922014622258</v>
      </c>
      <c r="BT41" s="14">
        <f t="shared" si="28"/>
        <v>0.3867162803971414</v>
      </c>
      <c r="BU41" s="14">
        <f t="shared" si="28"/>
        <v>0.39358441341045353</v>
      </c>
      <c r="BV41" s="14">
        <f t="shared" si="28"/>
        <v>0.39465123071155611</v>
      </c>
      <c r="BW41" s="14">
        <f t="shared" si="28"/>
        <v>0.39481745705771337</v>
      </c>
      <c r="BX41" s="14">
        <f t="shared" si="28"/>
        <v>0.39484337025824801</v>
      </c>
      <c r="BY41" s="14">
        <f t="shared" si="28"/>
        <v>0.39484741020089792</v>
      </c>
      <c r="BZ41" s="14">
        <f t="shared" si="28"/>
        <v>0.39484804004704999</v>
      </c>
      <c r="CA41" s="14">
        <f t="shared" si="28"/>
        <v>0.39484813824322279</v>
      </c>
      <c r="CB41" s="14">
        <f t="shared" si="28"/>
        <v>0.39484815355250286</v>
      </c>
      <c r="CC41" s="14">
        <f t="shared" si="28"/>
        <v>0.39484815593929717</v>
      </c>
      <c r="CD41" s="14">
        <f t="shared" si="28"/>
        <v>0.39484815631141046</v>
      </c>
      <c r="CE41" s="14">
        <f t="shared" si="28"/>
        <v>0.39484815636942483</v>
      </c>
      <c r="CF41" s="14">
        <f t="shared" si="28"/>
        <v>0.39484815637846954</v>
      </c>
      <c r="CG41" s="14">
        <f t="shared" si="28"/>
        <v>0.39484815637987963</v>
      </c>
      <c r="CH41" s="14">
        <f t="shared" si="28"/>
        <v>0.39484815638009951</v>
      </c>
      <c r="CI41" s="14">
        <f t="shared" si="28"/>
        <v>0.39484815638013382</v>
      </c>
      <c r="CJ41" s="14">
        <f t="shared" si="28"/>
        <v>0.39484815638013915</v>
      </c>
      <c r="CK41" s="14">
        <f t="shared" si="28"/>
        <v>0.39484815638013998</v>
      </c>
      <c r="CL41" s="14">
        <f t="shared" si="28"/>
        <v>0.39484815638014015</v>
      </c>
      <c r="CM41" s="14">
        <f t="shared" si="28"/>
        <v>0.39484815638014015</v>
      </c>
      <c r="CN41" s="14">
        <f t="shared" si="28"/>
        <v>0.39484815638014015</v>
      </c>
      <c r="CO41" s="14">
        <f t="shared" si="28"/>
        <v>0.39484815638014015</v>
      </c>
      <c r="CP41" s="14">
        <f t="shared" si="28"/>
        <v>0.39484815638014015</v>
      </c>
      <c r="CQ41" s="14">
        <f t="shared" si="28"/>
        <v>0.39484815638014015</v>
      </c>
      <c r="CR41" s="14">
        <f t="shared" si="28"/>
        <v>0.39484815638014015</v>
      </c>
      <c r="CS41" s="14">
        <f t="shared" si="28"/>
        <v>0.39484815638014015</v>
      </c>
      <c r="CT41" s="14">
        <f t="shared" si="28"/>
        <v>0.39484815638014015</v>
      </c>
      <c r="CU41" s="14">
        <f t="shared" si="28"/>
        <v>0.39484815638014015</v>
      </c>
      <c r="CW41" s="23"/>
      <c r="CX41" s="1">
        <f t="shared" si="14"/>
        <v>300</v>
      </c>
      <c r="CY41" s="14">
        <f t="shared" si="15"/>
        <v>190.99660244288896</v>
      </c>
      <c r="CZ41" s="14">
        <f t="shared" si="10"/>
        <v>166.7539909660658</v>
      </c>
      <c r="DA41" s="14">
        <f t="shared" si="10"/>
        <v>152.86143350061801</v>
      </c>
      <c r="DB41" s="14">
        <f t="shared" si="10"/>
        <v>140.66339849143105</v>
      </c>
      <c r="DC41" s="14">
        <f t="shared" si="10"/>
        <v>129.03819047914061</v>
      </c>
      <c r="DD41" s="14">
        <f t="shared" si="10"/>
        <v>117.90807156369662</v>
      </c>
      <c r="DE41" s="14">
        <f t="shared" si="10"/>
        <v>107.33675338457086</v>
      </c>
      <c r="DF41" s="14">
        <f t="shared" si="10"/>
        <v>97.399229784158251</v>
      </c>
      <c r="DG41" s="14">
        <f t="shared" si="10"/>
        <v>88.162310442393149</v>
      </c>
      <c r="DH41" s="14">
        <f t="shared" si="10"/>
        <v>79.681304546148112</v>
      </c>
      <c r="DI41" s="14">
        <f t="shared" si="10"/>
        <v>71.999302704183947</v>
      </c>
      <c r="DJ41" s="14">
        <f t="shared" si="10"/>
        <v>65.147100303956563</v>
      </c>
      <c r="DK41" s="14">
        <f t="shared" si="10"/>
        <v>59.143450646373964</v>
      </c>
      <c r="DL41" s="14">
        <f t="shared" si="10"/>
        <v>53.99556218368393</v>
      </c>
      <c r="DM41" s="14">
        <f t="shared" si="10"/>
        <v>49.699781702290991</v>
      </c>
      <c r="DN41" s="14">
        <f t="shared" si="10"/>
        <v>46.242408254245994</v>
      </c>
      <c r="DO41" s="14">
        <f t="shared" si="10"/>
        <v>43.600585421490592</v>
      </c>
      <c r="DP41" s="14">
        <f t="shared" si="10"/>
        <v>41.743224978200352</v>
      </c>
      <c r="DQ41" s="14">
        <f t="shared" si="10"/>
        <v>40.631922859028052</v>
      </c>
      <c r="DR41" s="14">
        <f t="shared" si="10"/>
        <v>40.221837654286027</v>
      </c>
      <c r="DS41" s="14">
        <f t="shared" si="10"/>
        <v>40.462511661497942</v>
      </c>
      <c r="DT41" s="14">
        <f t="shared" si="10"/>
        <v>41.298623913673538</v>
      </c>
      <c r="DU41" s="14">
        <f t="shared" si="10"/>
        <v>42.67067281837118</v>
      </c>
      <c r="DV41" s="14">
        <f t="shared" si="10"/>
        <v>44.515592533278422</v>
      </c>
      <c r="DW41" s="14">
        <f t="shared" si="10"/>
        <v>46.767311678464651</v>
      </c>
      <c r="DX41" s="14">
        <f t="shared" si="10"/>
        <v>49.357265403395324</v>
      </c>
      <c r="DY41" s="14">
        <f t="shared" si="10"/>
        <v>52.214872383911008</v>
      </c>
      <c r="DZ41" s="14">
        <f t="shared" si="10"/>
        <v>55.267987406521392</v>
      </c>
      <c r="EA41" s="14">
        <f t="shared" si="10"/>
        <v>58.443338317957306</v>
      </c>
    </row>
    <row r="42" spans="5:131" x14ac:dyDescent="0.25">
      <c r="E42" s="19"/>
      <c r="F42" s="1">
        <v>300</v>
      </c>
      <c r="G42" s="6">
        <f t="shared" si="7"/>
        <v>279.60238189843898</v>
      </c>
      <c r="H42" s="6">
        <f t="shared" si="7"/>
        <v>259.39052202088476</v>
      </c>
      <c r="I42" s="6">
        <f t="shared" si="7"/>
        <v>239.54649894668285</v>
      </c>
      <c r="J42" s="6">
        <f t="shared" si="7"/>
        <v>220.24516848858144</v>
      </c>
      <c r="K42" s="6">
        <f t="shared" si="7"/>
        <v>201.65088514652405</v>
      </c>
      <c r="L42" s="6">
        <f t="shared" si="7"/>
        <v>183.91459994832263</v>
      </c>
      <c r="M42" s="6">
        <f t="shared" si="7"/>
        <v>167.1714238014286</v>
      </c>
      <c r="N42" s="6">
        <f t="shared" si="7"/>
        <v>151.53871817574765</v>
      </c>
      <c r="O42" s="6">
        <f t="shared" si="7"/>
        <v>137.11474516914933</v>
      </c>
      <c r="P42" s="6">
        <f t="shared" si="7"/>
        <v>123.97787905131746</v>
      </c>
      <c r="Q42" s="6">
        <f t="shared" si="7"/>
        <v>112.18635342884843</v>
      </c>
      <c r="R42" s="6">
        <f t="shared" si="7"/>
        <v>101.77849413799129</v>
      </c>
      <c r="S42" s="6">
        <f t="shared" ref="S42:S62" si="29">CE42*T42+DK42</f>
        <v>92.773369328193326</v>
      </c>
      <c r="T42" s="6">
        <f t="shared" ref="T42:T62" si="30">CF42*U42+DL42</f>
        <v>85.171775882257748</v>
      </c>
      <c r="U42" s="6">
        <f t="shared" ref="U42:U62" si="31">CG42*V42+DM42</f>
        <v>78.957475664875091</v>
      </c>
      <c r="V42" s="6">
        <f t="shared" ref="V42:V62" si="32">CH42*W42+DN42</f>
        <v>74.09859585221291</v>
      </c>
      <c r="W42" s="6">
        <f t="shared" ref="W42:W62" si="33">CI42*X42+DO42</f>
        <v>70.54911400207024</v>
      </c>
      <c r="X42" s="6">
        <f t="shared" ref="X42:X62" si="34">CJ42*Y42+DP42</f>
        <v>68.250359397994373</v>
      </c>
      <c r="Y42" s="6">
        <f t="shared" ref="Y42:Y62" si="35">CK42*Z42+DQ42</f>
        <v>67.132476096138376</v>
      </c>
      <c r="Z42" s="6">
        <f t="shared" ref="Z42:Z62" si="36">CL42*AA42+DR42</f>
        <v>67.115808466880395</v>
      </c>
      <c r="AA42" s="6">
        <f t="shared" ref="AA42:AA62" si="37">CM42*AB42+DS42</f>
        <v>68.112185350315215</v>
      </c>
      <c r="AB42" s="6">
        <f t="shared" ref="AB42:AB62" si="38">CN42*AC42+DT42</f>
        <v>70.02609292215493</v>
      </c>
      <c r="AC42" s="6">
        <f t="shared" ref="AC42:AC62" si="39">CO42*AD42+DU42</f>
        <v>72.755737982537269</v>
      </c>
      <c r="AD42" s="6">
        <f t="shared" ref="AD42:AD62" si="40">CP42*AE42+DV42</f>
        <v>76.194011996859061</v>
      </c>
      <c r="AE42" s="6">
        <f t="shared" ref="AE42:AE62" si="41">CQ42*AF42+DW42</f>
        <v>80.229371599451582</v>
      </c>
      <c r="AF42" s="6">
        <f t="shared" ref="AF42:AF62" si="42">CR42*AG42+DX42</f>
        <v>84.746653568698235</v>
      </c>
      <c r="AG42" s="6">
        <f t="shared" ref="AG42:AG62" si="43">CS42*AH42+DY42</f>
        <v>89.627841977896367</v>
      </c>
      <c r="AH42" s="6">
        <f t="shared" si="11"/>
        <v>94.752803044535426</v>
      </c>
      <c r="AI42" s="1">
        <v>100</v>
      </c>
      <c r="AJ42" s="3"/>
      <c r="AK42" s="18"/>
      <c r="AL42" s="14">
        <f t="shared" si="12"/>
        <v>-1076400000</v>
      </c>
      <c r="AM42" s="14">
        <f t="shared" ref="AM42:AM62" si="44">-($C$10*$C$9*G11)/($C$7)</f>
        <v>-1002494721.9862061</v>
      </c>
      <c r="AN42" s="14">
        <f t="shared" ref="AN42:AN62" si="45">-($C$10*$C$9*H11)/($C$7)</f>
        <v>-929270179.55348575</v>
      </c>
      <c r="AO42" s="14">
        <f t="shared" ref="AO42:AO62" si="46">-($C$10*$C$9*I11)/($C$7)</f>
        <v>-857393377.56605172</v>
      </c>
      <c r="AP42" s="14">
        <f t="shared" ref="AP42:AP62" si="47">-($C$10*$C$9*J11)/($C$7)</f>
        <v>-787504382.0639025</v>
      </c>
      <c r="AQ42" s="14">
        <f t="shared" ref="AQ42:AQ62" si="48">-($C$10*$C$9*K11)/($C$7)</f>
        <v>-720204124.28640687</v>
      </c>
      <c r="AR42" s="14">
        <f t="shared" ref="AR42:AR62" si="49">-($C$10*$C$9*L11)/($C$7)</f>
        <v>-656043642.93869412</v>
      </c>
      <c r="AS42" s="14">
        <f t="shared" ref="AS42:AS62" si="50">-($C$10*$C$9*M11)/($C$7)</f>
        <v>-595515102.34116077</v>
      </c>
      <c r="AT42" s="14">
        <f t="shared" ref="AT42:AT62" si="51">-($C$10*$C$9*N11)/($C$7)</f>
        <v>-539044817.80439925</v>
      </c>
      <c r="AU42" s="14">
        <f t="shared" ref="AU42:AU62" si="52">-($C$10*$C$9*O11)/($C$7)</f>
        <v>-486988403.95702612</v>
      </c>
      <c r="AV42" s="14">
        <f t="shared" ref="AV42:AV62" si="53">-($C$10*$C$9*P11)/($C$7)</f>
        <v>-439628045.79576617</v>
      </c>
      <c r="AW42" s="14">
        <f t="shared" ref="AW42:AW62" si="54">-($C$10*$C$9*Q11)/($C$7)</f>
        <v>-397171784.53223431</v>
      </c>
      <c r="AX42" s="14">
        <f t="shared" ref="AX42:AX62" si="55">-($C$10*$C$9*R11)/($C$7)</f>
        <v>-359754618.35368723</v>
      </c>
      <c r="AY42" s="14">
        <f t="shared" ref="AY42:AY62" si="56">-($C$10*$C$9*S11)/($C$7)</f>
        <v>-327441147.71531951</v>
      </c>
      <c r="AZ42" s="14">
        <f t="shared" ref="AZ42:AZ62" si="57">-($C$10*$C$9*T11)/($C$7)</f>
        <v>-300229449.28156114</v>
      </c>
      <c r="BA42" s="14">
        <f t="shared" ref="BA42:BA62" si="58">-($C$10*$C$9*U11)/($C$7)</f>
        <v>-278055843.30787015</v>
      </c>
      <c r="BB42" s="14">
        <f t="shared" ref="BB42:BB62" si="59">-($C$10*$C$9*V11)/($C$7)</f>
        <v>-260800224.95993704</v>
      </c>
      <c r="BC42" s="14">
        <f t="shared" ref="BC42:BC62" si="60">-($C$10*$C$9*W11)/($C$7)</f>
        <v>-248291657.61529383</v>
      </c>
      <c r="BD42" s="14">
        <f t="shared" ref="BD42:BD62" si="61">-($C$10*$C$9*X11)/($C$7)</f>
        <v>-240313970.80023602</v>
      </c>
      <c r="BE42" s="14">
        <f t="shared" ref="BE42:BE62" si="62">-($C$10*$C$9*Y11)/($C$7)</f>
        <v>-236611161.28193185</v>
      </c>
      <c r="BF42" s="14">
        <f t="shared" ref="BF42:BF62" si="63">-($C$10*$C$9*Z11)/($C$7)</f>
        <v>-236892456.77736345</v>
      </c>
      <c r="BG42" s="14">
        <f t="shared" ref="BG42:BG62" si="64">-($C$10*$C$9*AA11)/($C$7)</f>
        <v>-240836961.81576782</v>
      </c>
      <c r="BH42" s="14">
        <f t="shared" ref="BH42:BH62" si="65">-($C$10*$C$9*AB11)/($C$7)</f>
        <v>-248097859.35651588</v>
      </c>
      <c r="BI42" s="14">
        <f t="shared" ref="BI42:BI62" si="66">-($C$10*$C$9*AC11)/($C$7)</f>
        <v>-258306185.9101336</v>
      </c>
      <c r="BJ42" s="14">
        <f t="shared" si="22"/>
        <v>-271074229.73794621</v>
      </c>
      <c r="BK42" s="14">
        <f t="shared" si="23"/>
        <v>-285998620.43119419</v>
      </c>
      <c r="BL42" s="14">
        <f t="shared" si="24"/>
        <v>-302663184.55089313</v>
      </c>
      <c r="BM42" s="14">
        <f t="shared" si="25"/>
        <v>-320641638.11411619</v>
      </c>
      <c r="BN42" s="14">
        <f t="shared" si="26"/>
        <v>-339500175.56428272</v>
      </c>
      <c r="BO42" s="14">
        <f t="shared" si="27"/>
        <v>-358800000</v>
      </c>
      <c r="BQ42" s="21"/>
      <c r="BR42" s="1">
        <v>0</v>
      </c>
      <c r="BS42" s="14">
        <f t="shared" ref="BS42:CU42" si="67">$C$16/($C$17-$C$18*BR42)</f>
        <v>0.3415922014622258</v>
      </c>
      <c r="BT42" s="14">
        <f t="shared" si="67"/>
        <v>0.3867162803971414</v>
      </c>
      <c r="BU42" s="14">
        <f t="shared" si="67"/>
        <v>0.39358441341045353</v>
      </c>
      <c r="BV42" s="14">
        <f t="shared" si="67"/>
        <v>0.39465123071155611</v>
      </c>
      <c r="BW42" s="14">
        <f t="shared" si="67"/>
        <v>0.39481745705771337</v>
      </c>
      <c r="BX42" s="14">
        <f t="shared" si="67"/>
        <v>0.39484337025824801</v>
      </c>
      <c r="BY42" s="14">
        <f t="shared" si="67"/>
        <v>0.39484741020089792</v>
      </c>
      <c r="BZ42" s="14">
        <f t="shared" si="67"/>
        <v>0.39484804004704999</v>
      </c>
      <c r="CA42" s="14">
        <f t="shared" si="67"/>
        <v>0.39484813824322279</v>
      </c>
      <c r="CB42" s="14">
        <f t="shared" si="67"/>
        <v>0.39484815355250286</v>
      </c>
      <c r="CC42" s="14">
        <f t="shared" si="67"/>
        <v>0.39484815593929717</v>
      </c>
      <c r="CD42" s="14">
        <f t="shared" si="67"/>
        <v>0.39484815631141046</v>
      </c>
      <c r="CE42" s="14">
        <f t="shared" si="67"/>
        <v>0.39484815636942483</v>
      </c>
      <c r="CF42" s="14">
        <f t="shared" si="67"/>
        <v>0.39484815637846954</v>
      </c>
      <c r="CG42" s="14">
        <f t="shared" si="67"/>
        <v>0.39484815637987963</v>
      </c>
      <c r="CH42" s="14">
        <f t="shared" si="67"/>
        <v>0.39484815638009951</v>
      </c>
      <c r="CI42" s="14">
        <f t="shared" si="67"/>
        <v>0.39484815638013382</v>
      </c>
      <c r="CJ42" s="14">
        <f t="shared" si="67"/>
        <v>0.39484815638013915</v>
      </c>
      <c r="CK42" s="14">
        <f t="shared" si="67"/>
        <v>0.39484815638013998</v>
      </c>
      <c r="CL42" s="14">
        <f t="shared" si="67"/>
        <v>0.39484815638014015</v>
      </c>
      <c r="CM42" s="14">
        <f t="shared" si="67"/>
        <v>0.39484815638014015</v>
      </c>
      <c r="CN42" s="14">
        <f t="shared" si="67"/>
        <v>0.39484815638014015</v>
      </c>
      <c r="CO42" s="14">
        <f t="shared" si="67"/>
        <v>0.39484815638014015</v>
      </c>
      <c r="CP42" s="14">
        <f t="shared" si="67"/>
        <v>0.39484815638014015</v>
      </c>
      <c r="CQ42" s="14">
        <f t="shared" si="67"/>
        <v>0.39484815638014015</v>
      </c>
      <c r="CR42" s="14">
        <f t="shared" si="67"/>
        <v>0.39484815638014015</v>
      </c>
      <c r="CS42" s="14">
        <f t="shared" si="67"/>
        <v>0.39484815638014015</v>
      </c>
      <c r="CT42" s="14">
        <f t="shared" si="67"/>
        <v>0.39484815638014015</v>
      </c>
      <c r="CU42" s="14">
        <f t="shared" si="67"/>
        <v>0.39484815638014015</v>
      </c>
      <c r="CW42" s="23"/>
      <c r="CX42" s="1">
        <f t="shared" si="14"/>
        <v>300</v>
      </c>
      <c r="CY42" s="14">
        <f t="shared" si="15"/>
        <v>190.99660244288899</v>
      </c>
      <c r="CZ42" s="14">
        <f t="shared" si="10"/>
        <v>166.7539909660658</v>
      </c>
      <c r="DA42" s="14">
        <f t="shared" si="10"/>
        <v>152.86143350061801</v>
      </c>
      <c r="DB42" s="14">
        <f t="shared" si="10"/>
        <v>140.66339849143108</v>
      </c>
      <c r="DC42" s="14">
        <f t="shared" ref="DC42:DC62" si="68">($C$18*DB42-AQ42)/($C$17-$C$18*BV42)</f>
        <v>129.03819047914064</v>
      </c>
      <c r="DD42" s="14">
        <f t="shared" ref="DD42:DD62" si="69">($C$18*DC42-AR42)/($C$17-$C$18*BW42)</f>
        <v>117.90807156369668</v>
      </c>
      <c r="DE42" s="14">
        <f t="shared" ref="DE42:DE62" si="70">($C$18*DD42-AS42)/($C$17-$C$18*BX42)</f>
        <v>107.3367533845709</v>
      </c>
      <c r="DF42" s="14">
        <f t="shared" ref="DF42:DF62" si="71">($C$18*DE42-AT42)/($C$17-$C$18*BY42)</f>
        <v>97.399229784158308</v>
      </c>
      <c r="DG42" s="14">
        <f t="shared" ref="DG42:DG62" si="72">($C$18*DF42-AU42)/($C$17-$C$18*BZ42)</f>
        <v>88.162310442393192</v>
      </c>
      <c r="DH42" s="14">
        <f t="shared" ref="DH42:DH62" si="73">($C$18*DG42-AV42)/($C$17-$C$18*CA42)</f>
        <v>79.681304546148155</v>
      </c>
      <c r="DI42" s="14">
        <f t="shared" ref="DI42:DI62" si="74">($C$18*DH42-AW42)/($C$17-$C$18*CB42)</f>
        <v>71.999302704184004</v>
      </c>
      <c r="DJ42" s="14">
        <f t="shared" ref="DJ42:DJ62" si="75">($C$18*DI42-AX42)/($C$17-$C$18*CC42)</f>
        <v>65.147100303956591</v>
      </c>
      <c r="DK42" s="14">
        <f t="shared" ref="DK42:DK62" si="76">($C$18*DJ42-AY42)/($C$17-$C$18*CD42)</f>
        <v>59.143450646374006</v>
      </c>
      <c r="DL42" s="14">
        <f t="shared" ref="DL42:DL62" si="77">($C$18*DK42-AZ42)/($C$17-$C$18*CE42)</f>
        <v>53.995562183683951</v>
      </c>
      <c r="DM42" s="14">
        <f t="shared" ref="DM42:DM62" si="78">($C$18*DL42-BA42)/($C$17-$C$18*CF42)</f>
        <v>49.69978170229102</v>
      </c>
      <c r="DN42" s="14">
        <f t="shared" ref="DN42:DN62" si="79">($C$18*DM42-BB42)/($C$17-$C$18*CG42)</f>
        <v>46.242408254246016</v>
      </c>
      <c r="DO42" s="14">
        <f t="shared" ref="DO42:DO62" si="80">($C$18*DN42-BC42)/($C$17-$C$18*CH42)</f>
        <v>43.600585421490614</v>
      </c>
      <c r="DP42" s="14">
        <f t="shared" ref="DP42:DP62" si="81">($C$18*DO42-BD42)/($C$17-$C$18*CI42)</f>
        <v>41.743224978200367</v>
      </c>
      <c r="DQ42" s="14">
        <f t="shared" ref="DQ42:DQ62" si="82">($C$18*DP42-BE42)/($C$17-$C$18*CJ42)</f>
        <v>40.631922859028066</v>
      </c>
      <c r="DR42" s="14">
        <f t="shared" ref="DR42:DR62" si="83">($C$18*DQ42-BF42)/($C$17-$C$18*CK42)</f>
        <v>40.221837654286041</v>
      </c>
      <c r="DS42" s="14">
        <f t="shared" ref="DS42:DS62" si="84">($C$18*DR42-BG42)/($C$17-$C$18*CL42)</f>
        <v>40.462511661497963</v>
      </c>
      <c r="DT42" s="14">
        <f t="shared" ref="DT42:DT62" si="85">($C$18*DS42-BH42)/($C$17-$C$18*CM42)</f>
        <v>41.298623913673545</v>
      </c>
      <c r="DU42" s="14">
        <f t="shared" ref="DU42:DU62" si="86">($C$18*DT42-BI42)/($C$17-$C$18*CN42)</f>
        <v>42.670672818371187</v>
      </c>
      <c r="DV42" s="14">
        <f t="shared" ref="DV42:DV62" si="87">($C$18*DU42-BJ42)/($C$17-$C$18*CO42)</f>
        <v>44.515592533278429</v>
      </c>
      <c r="DW42" s="14">
        <f t="shared" ref="DW42:DW62" si="88">($C$18*DV42-BK42)/($C$17-$C$18*CP42)</f>
        <v>46.767311678464665</v>
      </c>
      <c r="DX42" s="14">
        <f t="shared" ref="DX42:DX62" si="89">($C$18*DW42-BL42)/($C$17-$C$18*CQ42)</f>
        <v>49.357265403395331</v>
      </c>
      <c r="DY42" s="14">
        <f t="shared" ref="DY42:DY62" si="90">($C$18*DX42-BM42)/($C$17-$C$18*CR42)</f>
        <v>52.214872383911029</v>
      </c>
      <c r="DZ42" s="14">
        <f t="shared" ref="DZ42:DZ62" si="91">($C$18*DY42-BN42)/($C$17-$C$18*CS42)</f>
        <v>55.267987406521407</v>
      </c>
      <c r="EA42" s="14">
        <f t="shared" ref="EA42:EA62" si="92">($C$18*DZ42-BO42)/($C$17-$C$18*CT42)</f>
        <v>58.443338317957313</v>
      </c>
    </row>
    <row r="43" spans="5:131" x14ac:dyDescent="0.25">
      <c r="E43" s="19"/>
      <c r="F43" s="1">
        <v>300</v>
      </c>
      <c r="G43" s="6">
        <f t="shared" ref="G43:G62" si="93">BS43*H43+CY43</f>
        <v>279.60238189843898</v>
      </c>
      <c r="H43" s="6">
        <f t="shared" ref="H43:H62" si="94">BT43*I43+CZ43</f>
        <v>259.39052202088476</v>
      </c>
      <c r="I43" s="6">
        <f t="shared" ref="I43:I62" si="95">BU43*J43+DA43</f>
        <v>239.5464989466829</v>
      </c>
      <c r="J43" s="6">
        <f t="shared" ref="J43:J62" si="96">BV43*K43+DB43</f>
        <v>220.2451684885815</v>
      </c>
      <c r="K43" s="6">
        <f t="shared" ref="K43:K62" si="97">BW43*L43+DC43</f>
        <v>201.6508851465241</v>
      </c>
      <c r="L43" s="6">
        <f t="shared" ref="L43:L62" si="98">BX43*M43+DD43</f>
        <v>183.91459994832272</v>
      </c>
      <c r="M43" s="6">
        <f t="shared" ref="M43:M62" si="99">BY43*N43+DE43</f>
        <v>167.17142380142866</v>
      </c>
      <c r="N43" s="6">
        <f t="shared" ref="N43:N62" si="100">BZ43*O43+DF43</f>
        <v>151.5387181757477</v>
      </c>
      <c r="O43" s="6">
        <f t="shared" ref="O43:O62" si="101">CA43*P43+DG43</f>
        <v>137.11474516914939</v>
      </c>
      <c r="P43" s="6">
        <f t="shared" ref="P43:P62" si="102">CB43*Q43+DH43</f>
        <v>123.9778790513175</v>
      </c>
      <c r="Q43" s="6">
        <f t="shared" ref="Q43:Q62" si="103">CC43*R43+DI43</f>
        <v>112.18635342884849</v>
      </c>
      <c r="R43" s="6">
        <f t="shared" ref="R43:R62" si="104">CD43*S43+DJ43</f>
        <v>101.77849413799134</v>
      </c>
      <c r="S43" s="6">
        <f t="shared" si="29"/>
        <v>92.773369328193354</v>
      </c>
      <c r="T43" s="6">
        <f t="shared" si="30"/>
        <v>85.171775882257791</v>
      </c>
      <c r="U43" s="6">
        <f t="shared" si="31"/>
        <v>78.957475664875105</v>
      </c>
      <c r="V43" s="6">
        <f t="shared" si="32"/>
        <v>74.098595852212938</v>
      </c>
      <c r="W43" s="6">
        <f t="shared" si="33"/>
        <v>70.549114002070255</v>
      </c>
      <c r="X43" s="6">
        <f t="shared" si="34"/>
        <v>68.250359397994401</v>
      </c>
      <c r="Y43" s="6">
        <f t="shared" si="35"/>
        <v>67.132476096138419</v>
      </c>
      <c r="Z43" s="6">
        <f t="shared" si="36"/>
        <v>67.115808466880424</v>
      </c>
      <c r="AA43" s="6">
        <f t="shared" si="37"/>
        <v>68.112185350315258</v>
      </c>
      <c r="AB43" s="6">
        <f t="shared" si="38"/>
        <v>70.026092922154973</v>
      </c>
      <c r="AC43" s="6">
        <f t="shared" si="39"/>
        <v>72.755737982537312</v>
      </c>
      <c r="AD43" s="6">
        <f t="shared" si="40"/>
        <v>76.194011996859118</v>
      </c>
      <c r="AE43" s="6">
        <f t="shared" si="41"/>
        <v>80.229371599451639</v>
      </c>
      <c r="AF43" s="6">
        <f t="shared" si="42"/>
        <v>84.746653568698292</v>
      </c>
      <c r="AG43" s="6">
        <f t="shared" si="43"/>
        <v>89.627841977896395</v>
      </c>
      <c r="AH43" s="6">
        <f t="shared" si="11"/>
        <v>94.752803044535426</v>
      </c>
      <c r="AI43" s="1">
        <v>100</v>
      </c>
      <c r="AJ43" s="3"/>
      <c r="AK43" s="18"/>
      <c r="AL43" s="14">
        <f t="shared" si="12"/>
        <v>-1076400000</v>
      </c>
      <c r="AM43" s="14">
        <f t="shared" si="44"/>
        <v>-1002494721.9862063</v>
      </c>
      <c r="AN43" s="14">
        <f t="shared" si="45"/>
        <v>-929270179.55348611</v>
      </c>
      <c r="AO43" s="14">
        <f t="shared" si="46"/>
        <v>-857393377.56605208</v>
      </c>
      <c r="AP43" s="14">
        <f t="shared" si="47"/>
        <v>-787504382.06390262</v>
      </c>
      <c r="AQ43" s="14">
        <f t="shared" si="48"/>
        <v>-720204124.28640723</v>
      </c>
      <c r="AR43" s="14">
        <f t="shared" si="49"/>
        <v>-656043642.93869448</v>
      </c>
      <c r="AS43" s="14">
        <f t="shared" si="50"/>
        <v>-595515102.34116113</v>
      </c>
      <c r="AT43" s="14">
        <f t="shared" si="51"/>
        <v>-539044817.80439949</v>
      </c>
      <c r="AU43" s="14">
        <f t="shared" si="52"/>
        <v>-486988403.9570263</v>
      </c>
      <c r="AV43" s="14">
        <f t="shared" si="53"/>
        <v>-439628045.79576641</v>
      </c>
      <c r="AW43" s="14">
        <f t="shared" si="54"/>
        <v>-397171784.53223449</v>
      </c>
      <c r="AX43" s="14">
        <f t="shared" si="55"/>
        <v>-359754618.35368747</v>
      </c>
      <c r="AY43" s="14">
        <f t="shared" si="56"/>
        <v>-327441147.71531963</v>
      </c>
      <c r="AZ43" s="14">
        <f t="shared" si="57"/>
        <v>-300229449.28156137</v>
      </c>
      <c r="BA43" s="14">
        <f t="shared" si="58"/>
        <v>-278055843.30787021</v>
      </c>
      <c r="BB43" s="14">
        <f t="shared" si="59"/>
        <v>-260800224.95993716</v>
      </c>
      <c r="BC43" s="14">
        <f t="shared" si="60"/>
        <v>-248291657.61529398</v>
      </c>
      <c r="BD43" s="14">
        <f t="shared" si="61"/>
        <v>-240313970.80023614</v>
      </c>
      <c r="BE43" s="14">
        <f t="shared" si="62"/>
        <v>-236611161.28193203</v>
      </c>
      <c r="BF43" s="14">
        <f t="shared" si="63"/>
        <v>-236892456.77736354</v>
      </c>
      <c r="BG43" s="14">
        <f t="shared" si="64"/>
        <v>-240836961.81576794</v>
      </c>
      <c r="BH43" s="14">
        <f t="shared" si="65"/>
        <v>-248097859.35651603</v>
      </c>
      <c r="BI43" s="14">
        <f t="shared" si="66"/>
        <v>-258306185.91013372</v>
      </c>
      <c r="BJ43" s="14">
        <f t="shared" si="22"/>
        <v>-271074229.73794633</v>
      </c>
      <c r="BK43" s="14">
        <f t="shared" si="23"/>
        <v>-285998620.43119431</v>
      </c>
      <c r="BL43" s="14">
        <f t="shared" si="24"/>
        <v>-302663184.55089325</v>
      </c>
      <c r="BM43" s="14">
        <f t="shared" si="25"/>
        <v>-320641638.11411631</v>
      </c>
      <c r="BN43" s="14">
        <f t="shared" si="26"/>
        <v>-339500175.56428277</v>
      </c>
      <c r="BO43" s="14">
        <f t="shared" si="27"/>
        <v>-358800000</v>
      </c>
      <c r="BQ43" s="21"/>
      <c r="BR43" s="1">
        <v>0</v>
      </c>
      <c r="BS43" s="14">
        <f t="shared" ref="BS43:CU43" si="105">$C$16/($C$17-$C$18*BR43)</f>
        <v>0.3415922014622258</v>
      </c>
      <c r="BT43" s="14">
        <f t="shared" si="105"/>
        <v>0.3867162803971414</v>
      </c>
      <c r="BU43" s="14">
        <f t="shared" si="105"/>
        <v>0.39358441341045353</v>
      </c>
      <c r="BV43" s="14">
        <f t="shared" si="105"/>
        <v>0.39465123071155611</v>
      </c>
      <c r="BW43" s="14">
        <f t="shared" si="105"/>
        <v>0.39481745705771337</v>
      </c>
      <c r="BX43" s="14">
        <f t="shared" si="105"/>
        <v>0.39484337025824801</v>
      </c>
      <c r="BY43" s="14">
        <f t="shared" si="105"/>
        <v>0.39484741020089792</v>
      </c>
      <c r="BZ43" s="14">
        <f t="shared" si="105"/>
        <v>0.39484804004704999</v>
      </c>
      <c r="CA43" s="14">
        <f t="shared" si="105"/>
        <v>0.39484813824322279</v>
      </c>
      <c r="CB43" s="14">
        <f t="shared" si="105"/>
        <v>0.39484815355250286</v>
      </c>
      <c r="CC43" s="14">
        <f t="shared" si="105"/>
        <v>0.39484815593929717</v>
      </c>
      <c r="CD43" s="14">
        <f t="shared" si="105"/>
        <v>0.39484815631141046</v>
      </c>
      <c r="CE43" s="14">
        <f t="shared" si="105"/>
        <v>0.39484815636942483</v>
      </c>
      <c r="CF43" s="14">
        <f t="shared" si="105"/>
        <v>0.39484815637846954</v>
      </c>
      <c r="CG43" s="14">
        <f t="shared" si="105"/>
        <v>0.39484815637987963</v>
      </c>
      <c r="CH43" s="14">
        <f t="shared" si="105"/>
        <v>0.39484815638009951</v>
      </c>
      <c r="CI43" s="14">
        <f t="shared" si="105"/>
        <v>0.39484815638013382</v>
      </c>
      <c r="CJ43" s="14">
        <f t="shared" si="105"/>
        <v>0.39484815638013915</v>
      </c>
      <c r="CK43" s="14">
        <f t="shared" si="105"/>
        <v>0.39484815638013998</v>
      </c>
      <c r="CL43" s="14">
        <f t="shared" si="105"/>
        <v>0.39484815638014015</v>
      </c>
      <c r="CM43" s="14">
        <f t="shared" si="105"/>
        <v>0.39484815638014015</v>
      </c>
      <c r="CN43" s="14">
        <f t="shared" si="105"/>
        <v>0.39484815638014015</v>
      </c>
      <c r="CO43" s="14">
        <f t="shared" si="105"/>
        <v>0.39484815638014015</v>
      </c>
      <c r="CP43" s="14">
        <f t="shared" si="105"/>
        <v>0.39484815638014015</v>
      </c>
      <c r="CQ43" s="14">
        <f t="shared" si="105"/>
        <v>0.39484815638014015</v>
      </c>
      <c r="CR43" s="14">
        <f t="shared" si="105"/>
        <v>0.39484815638014015</v>
      </c>
      <c r="CS43" s="14">
        <f t="shared" si="105"/>
        <v>0.39484815638014015</v>
      </c>
      <c r="CT43" s="14">
        <f t="shared" si="105"/>
        <v>0.39484815638014015</v>
      </c>
      <c r="CU43" s="14">
        <f t="shared" si="105"/>
        <v>0.39484815638014015</v>
      </c>
      <c r="CW43" s="23"/>
      <c r="CX43" s="1">
        <f t="shared" si="14"/>
        <v>300</v>
      </c>
      <c r="CY43" s="14">
        <f t="shared" si="15"/>
        <v>190.99660244288899</v>
      </c>
      <c r="CZ43" s="14">
        <f t="shared" ref="CZ43:CZ62" si="106">($C$18*CY43-AN43)/($C$17-$C$18*BS43)</f>
        <v>166.75399096606583</v>
      </c>
      <c r="DA43" s="14">
        <f t="shared" ref="DA43:DA62" si="107">($C$18*CZ43-AO43)/($C$17-$C$18*BT43)</f>
        <v>152.86143350061803</v>
      </c>
      <c r="DB43" s="14">
        <f t="shared" ref="DB43:DB62" si="108">($C$18*DA43-AP43)/($C$17-$C$18*BU43)</f>
        <v>140.66339849143111</v>
      </c>
      <c r="DC43" s="14">
        <f t="shared" si="68"/>
        <v>129.03819047914067</v>
      </c>
      <c r="DD43" s="14">
        <f t="shared" si="69"/>
        <v>117.90807156369672</v>
      </c>
      <c r="DE43" s="14">
        <f t="shared" si="70"/>
        <v>107.33675338457094</v>
      </c>
      <c r="DF43" s="14">
        <f t="shared" si="71"/>
        <v>97.399229784158351</v>
      </c>
      <c r="DG43" s="14">
        <f t="shared" si="72"/>
        <v>88.16231044239322</v>
      </c>
      <c r="DH43" s="14">
        <f t="shared" si="73"/>
        <v>79.681304546148183</v>
      </c>
      <c r="DI43" s="14">
        <f t="shared" si="74"/>
        <v>71.999302704184032</v>
      </c>
      <c r="DJ43" s="14">
        <f t="shared" si="75"/>
        <v>65.147100303956634</v>
      </c>
      <c r="DK43" s="14">
        <f t="shared" si="76"/>
        <v>59.143450646374028</v>
      </c>
      <c r="DL43" s="14">
        <f t="shared" si="77"/>
        <v>53.995562183683987</v>
      </c>
      <c r="DM43" s="14">
        <f t="shared" si="78"/>
        <v>49.699781702291034</v>
      </c>
      <c r="DN43" s="14">
        <f t="shared" si="79"/>
        <v>46.24240825424603</v>
      </c>
      <c r="DO43" s="14">
        <f t="shared" si="80"/>
        <v>43.600585421490628</v>
      </c>
      <c r="DP43" s="14">
        <f t="shared" si="81"/>
        <v>41.743224978200388</v>
      </c>
      <c r="DQ43" s="14">
        <f t="shared" si="82"/>
        <v>40.631922859028087</v>
      </c>
      <c r="DR43" s="14">
        <f t="shared" si="83"/>
        <v>40.221837654286063</v>
      </c>
      <c r="DS43" s="14">
        <f t="shared" si="84"/>
        <v>40.462511661497977</v>
      </c>
      <c r="DT43" s="14">
        <f t="shared" si="85"/>
        <v>41.298623913673573</v>
      </c>
      <c r="DU43" s="14">
        <f t="shared" si="86"/>
        <v>42.670672818371216</v>
      </c>
      <c r="DV43" s="14">
        <f t="shared" si="87"/>
        <v>44.515592533278458</v>
      </c>
      <c r="DW43" s="14">
        <f t="shared" si="88"/>
        <v>46.767311678464687</v>
      </c>
      <c r="DX43" s="14">
        <f t="shared" si="89"/>
        <v>49.35726540339536</v>
      </c>
      <c r="DY43" s="14">
        <f t="shared" si="90"/>
        <v>52.21487238391105</v>
      </c>
      <c r="DZ43" s="14">
        <f t="shared" si="91"/>
        <v>55.267987406521421</v>
      </c>
      <c r="EA43" s="14">
        <f t="shared" si="92"/>
        <v>58.443338317957313</v>
      </c>
    </row>
    <row r="44" spans="5:131" x14ac:dyDescent="0.25">
      <c r="E44" s="19"/>
      <c r="F44" s="1">
        <v>300</v>
      </c>
      <c r="G44" s="6">
        <f t="shared" si="93"/>
        <v>279.60238189843898</v>
      </c>
      <c r="H44" s="6">
        <f t="shared" si="94"/>
        <v>259.39052202088482</v>
      </c>
      <c r="I44" s="6">
        <f t="shared" si="95"/>
        <v>239.54649894668293</v>
      </c>
      <c r="J44" s="6">
        <f t="shared" si="96"/>
        <v>220.24516848858156</v>
      </c>
      <c r="K44" s="6">
        <f t="shared" si="97"/>
        <v>201.65088514652416</v>
      </c>
      <c r="L44" s="6">
        <f t="shared" si="98"/>
        <v>183.91459994832275</v>
      </c>
      <c r="M44" s="6">
        <f t="shared" si="99"/>
        <v>167.17142380142872</v>
      </c>
      <c r="N44" s="6">
        <f t="shared" si="100"/>
        <v>151.53871817574776</v>
      </c>
      <c r="O44" s="6">
        <f t="shared" si="101"/>
        <v>137.11474516914944</v>
      </c>
      <c r="P44" s="6">
        <f t="shared" si="102"/>
        <v>123.97787905131753</v>
      </c>
      <c r="Q44" s="6">
        <f t="shared" si="103"/>
        <v>112.18635342884849</v>
      </c>
      <c r="R44" s="6">
        <f t="shared" si="104"/>
        <v>101.77849413799134</v>
      </c>
      <c r="S44" s="6">
        <f t="shared" si="29"/>
        <v>92.773369328193382</v>
      </c>
      <c r="T44" s="6">
        <f t="shared" si="30"/>
        <v>85.171775882257833</v>
      </c>
      <c r="U44" s="6">
        <f t="shared" si="31"/>
        <v>78.957475664875133</v>
      </c>
      <c r="V44" s="6">
        <f t="shared" si="32"/>
        <v>74.098595852212952</v>
      </c>
      <c r="W44" s="6">
        <f t="shared" si="33"/>
        <v>70.549114002070283</v>
      </c>
      <c r="X44" s="6">
        <f t="shared" si="34"/>
        <v>68.250359397994416</v>
      </c>
      <c r="Y44" s="6">
        <f t="shared" si="35"/>
        <v>67.132476096138419</v>
      </c>
      <c r="Z44" s="6">
        <f t="shared" si="36"/>
        <v>67.115808466880438</v>
      </c>
      <c r="AA44" s="6">
        <f t="shared" si="37"/>
        <v>68.112185350315258</v>
      </c>
      <c r="AB44" s="6">
        <f t="shared" si="38"/>
        <v>70.026092922154973</v>
      </c>
      <c r="AC44" s="6">
        <f t="shared" si="39"/>
        <v>72.755737982537312</v>
      </c>
      <c r="AD44" s="6">
        <f t="shared" si="40"/>
        <v>76.194011996859118</v>
      </c>
      <c r="AE44" s="6">
        <f t="shared" si="41"/>
        <v>80.229371599451639</v>
      </c>
      <c r="AF44" s="6">
        <f t="shared" si="42"/>
        <v>84.746653568698292</v>
      </c>
      <c r="AG44" s="6">
        <f t="shared" si="43"/>
        <v>89.627841977896409</v>
      </c>
      <c r="AH44" s="6">
        <f t="shared" si="11"/>
        <v>94.752803044535455</v>
      </c>
      <c r="AI44" s="1">
        <v>100</v>
      </c>
      <c r="AJ44" s="3"/>
      <c r="AK44" s="18"/>
      <c r="AL44" s="14">
        <f t="shared" si="12"/>
        <v>-1076400000</v>
      </c>
      <c r="AM44" s="14">
        <f t="shared" si="44"/>
        <v>-1002494721.9862063</v>
      </c>
      <c r="AN44" s="14">
        <f t="shared" si="45"/>
        <v>-929270179.55348611</v>
      </c>
      <c r="AO44" s="14">
        <f t="shared" si="46"/>
        <v>-857393377.5660522</v>
      </c>
      <c r="AP44" s="14">
        <f t="shared" si="47"/>
        <v>-787504382.06390285</v>
      </c>
      <c r="AQ44" s="14">
        <f t="shared" si="48"/>
        <v>-720204124.28640735</v>
      </c>
      <c r="AR44" s="14">
        <f t="shared" si="49"/>
        <v>-656043642.9386946</v>
      </c>
      <c r="AS44" s="14">
        <f t="shared" si="50"/>
        <v>-595515102.34116125</v>
      </c>
      <c r="AT44" s="14">
        <f t="shared" si="51"/>
        <v>-539044817.80439973</v>
      </c>
      <c r="AU44" s="14">
        <f t="shared" si="52"/>
        <v>-486988403.95702642</v>
      </c>
      <c r="AV44" s="14">
        <f t="shared" si="53"/>
        <v>-439628045.79576647</v>
      </c>
      <c r="AW44" s="14">
        <f t="shared" si="54"/>
        <v>-397171784.53223461</v>
      </c>
      <c r="AX44" s="14">
        <f t="shared" si="55"/>
        <v>-359754618.35368752</v>
      </c>
      <c r="AY44" s="14">
        <f t="shared" si="56"/>
        <v>-327441147.71531975</v>
      </c>
      <c r="AZ44" s="14">
        <f t="shared" si="57"/>
        <v>-300229449.28156149</v>
      </c>
      <c r="BA44" s="14">
        <f t="shared" si="58"/>
        <v>-278055843.30787027</v>
      </c>
      <c r="BB44" s="14">
        <f t="shared" si="59"/>
        <v>-260800224.95993719</v>
      </c>
      <c r="BC44" s="14">
        <f t="shared" si="60"/>
        <v>-248291657.6152941</v>
      </c>
      <c r="BD44" s="14">
        <f t="shared" si="61"/>
        <v>-240313970.80023617</v>
      </c>
      <c r="BE44" s="14">
        <f t="shared" si="62"/>
        <v>-236611161.28193206</v>
      </c>
      <c r="BF44" s="14">
        <f t="shared" si="63"/>
        <v>-236892456.77736366</v>
      </c>
      <c r="BG44" s="14">
        <f t="shared" si="64"/>
        <v>-240836961.81576803</v>
      </c>
      <c r="BH44" s="14">
        <f t="shared" si="65"/>
        <v>-248097859.35651609</v>
      </c>
      <c r="BI44" s="14">
        <f t="shared" si="66"/>
        <v>-258306185.91013375</v>
      </c>
      <c r="BJ44" s="14">
        <f t="shared" si="22"/>
        <v>-271074229.73794639</v>
      </c>
      <c r="BK44" s="14">
        <f t="shared" si="23"/>
        <v>-285998620.43119431</v>
      </c>
      <c r="BL44" s="14">
        <f t="shared" si="24"/>
        <v>-302663184.55089331</v>
      </c>
      <c r="BM44" s="14">
        <f t="shared" si="25"/>
        <v>-320641638.11411631</v>
      </c>
      <c r="BN44" s="14">
        <f t="shared" si="26"/>
        <v>-339500175.56428283</v>
      </c>
      <c r="BO44" s="14">
        <f t="shared" si="27"/>
        <v>-358800000</v>
      </c>
      <c r="BQ44" s="21"/>
      <c r="BR44" s="1">
        <v>0</v>
      </c>
      <c r="BS44" s="14">
        <f t="shared" ref="BS44:CU44" si="109">$C$16/($C$17-$C$18*BR44)</f>
        <v>0.3415922014622258</v>
      </c>
      <c r="BT44" s="14">
        <f t="shared" si="109"/>
        <v>0.3867162803971414</v>
      </c>
      <c r="BU44" s="14">
        <f t="shared" si="109"/>
        <v>0.39358441341045353</v>
      </c>
      <c r="BV44" s="14">
        <f t="shared" si="109"/>
        <v>0.39465123071155611</v>
      </c>
      <c r="BW44" s="14">
        <f t="shared" si="109"/>
        <v>0.39481745705771337</v>
      </c>
      <c r="BX44" s="14">
        <f t="shared" si="109"/>
        <v>0.39484337025824801</v>
      </c>
      <c r="BY44" s="14">
        <f t="shared" si="109"/>
        <v>0.39484741020089792</v>
      </c>
      <c r="BZ44" s="14">
        <f t="shared" si="109"/>
        <v>0.39484804004704999</v>
      </c>
      <c r="CA44" s="14">
        <f t="shared" si="109"/>
        <v>0.39484813824322279</v>
      </c>
      <c r="CB44" s="14">
        <f t="shared" si="109"/>
        <v>0.39484815355250286</v>
      </c>
      <c r="CC44" s="14">
        <f t="shared" si="109"/>
        <v>0.39484815593929717</v>
      </c>
      <c r="CD44" s="14">
        <f t="shared" si="109"/>
        <v>0.39484815631141046</v>
      </c>
      <c r="CE44" s="14">
        <f t="shared" si="109"/>
        <v>0.39484815636942483</v>
      </c>
      <c r="CF44" s="14">
        <f t="shared" si="109"/>
        <v>0.39484815637846954</v>
      </c>
      <c r="CG44" s="14">
        <f t="shared" si="109"/>
        <v>0.39484815637987963</v>
      </c>
      <c r="CH44" s="14">
        <f t="shared" si="109"/>
        <v>0.39484815638009951</v>
      </c>
      <c r="CI44" s="14">
        <f t="shared" si="109"/>
        <v>0.39484815638013382</v>
      </c>
      <c r="CJ44" s="14">
        <f t="shared" si="109"/>
        <v>0.39484815638013915</v>
      </c>
      <c r="CK44" s="14">
        <f t="shared" si="109"/>
        <v>0.39484815638013998</v>
      </c>
      <c r="CL44" s="14">
        <f t="shared" si="109"/>
        <v>0.39484815638014015</v>
      </c>
      <c r="CM44" s="14">
        <f t="shared" si="109"/>
        <v>0.39484815638014015</v>
      </c>
      <c r="CN44" s="14">
        <f t="shared" si="109"/>
        <v>0.39484815638014015</v>
      </c>
      <c r="CO44" s="14">
        <f t="shared" si="109"/>
        <v>0.39484815638014015</v>
      </c>
      <c r="CP44" s="14">
        <f t="shared" si="109"/>
        <v>0.39484815638014015</v>
      </c>
      <c r="CQ44" s="14">
        <f t="shared" si="109"/>
        <v>0.39484815638014015</v>
      </c>
      <c r="CR44" s="14">
        <f t="shared" si="109"/>
        <v>0.39484815638014015</v>
      </c>
      <c r="CS44" s="14">
        <f t="shared" si="109"/>
        <v>0.39484815638014015</v>
      </c>
      <c r="CT44" s="14">
        <f t="shared" si="109"/>
        <v>0.39484815638014015</v>
      </c>
      <c r="CU44" s="14">
        <f t="shared" si="109"/>
        <v>0.39484815638014015</v>
      </c>
      <c r="CW44" s="23"/>
      <c r="CX44" s="1">
        <f t="shared" si="14"/>
        <v>300</v>
      </c>
      <c r="CY44" s="14">
        <f t="shared" si="15"/>
        <v>190.99660244288899</v>
      </c>
      <c r="CZ44" s="14">
        <f t="shared" si="106"/>
        <v>166.75399096606583</v>
      </c>
      <c r="DA44" s="14">
        <f t="shared" si="107"/>
        <v>152.86143350061806</v>
      </c>
      <c r="DB44" s="14">
        <f t="shared" si="108"/>
        <v>140.66339849143114</v>
      </c>
      <c r="DC44" s="14">
        <f t="shared" si="68"/>
        <v>129.0381904791407</v>
      </c>
      <c r="DD44" s="14">
        <f t="shared" si="69"/>
        <v>117.90807156369675</v>
      </c>
      <c r="DE44" s="14">
        <f t="shared" si="70"/>
        <v>107.33675338457097</v>
      </c>
      <c r="DF44" s="14">
        <f t="shared" si="71"/>
        <v>97.399229784158379</v>
      </c>
      <c r="DG44" s="14">
        <f t="shared" si="72"/>
        <v>88.162310442393249</v>
      </c>
      <c r="DH44" s="14">
        <f t="shared" si="73"/>
        <v>79.681304546148198</v>
      </c>
      <c r="DI44" s="14">
        <f t="shared" si="74"/>
        <v>71.999302704184046</v>
      </c>
      <c r="DJ44" s="14">
        <f t="shared" si="75"/>
        <v>65.147100303956634</v>
      </c>
      <c r="DK44" s="14">
        <f t="shared" si="76"/>
        <v>59.143450646374042</v>
      </c>
      <c r="DL44" s="14">
        <f t="shared" si="77"/>
        <v>53.995562183684008</v>
      </c>
      <c r="DM44" s="14">
        <f t="shared" si="78"/>
        <v>49.699781702291055</v>
      </c>
      <c r="DN44" s="14">
        <f t="shared" si="79"/>
        <v>46.242408254246044</v>
      </c>
      <c r="DO44" s="14">
        <f t="shared" si="80"/>
        <v>43.600585421490649</v>
      </c>
      <c r="DP44" s="14">
        <f t="shared" si="81"/>
        <v>41.743224978200395</v>
      </c>
      <c r="DQ44" s="14">
        <f t="shared" si="82"/>
        <v>40.631922859028094</v>
      </c>
      <c r="DR44" s="14">
        <f t="shared" si="83"/>
        <v>40.22183765428607</v>
      </c>
      <c r="DS44" s="14">
        <f t="shared" si="84"/>
        <v>40.462511661497992</v>
      </c>
      <c r="DT44" s="14">
        <f t="shared" si="85"/>
        <v>41.29862391367358</v>
      </c>
      <c r="DU44" s="14">
        <f t="shared" si="86"/>
        <v>42.670672818371216</v>
      </c>
      <c r="DV44" s="14">
        <f t="shared" si="87"/>
        <v>44.515592533278458</v>
      </c>
      <c r="DW44" s="14">
        <f t="shared" si="88"/>
        <v>46.767311678464687</v>
      </c>
      <c r="DX44" s="14">
        <f t="shared" si="89"/>
        <v>49.357265403395367</v>
      </c>
      <c r="DY44" s="14">
        <f t="shared" si="90"/>
        <v>52.214872383911057</v>
      </c>
      <c r="DZ44" s="14">
        <f t="shared" si="91"/>
        <v>55.267987406521435</v>
      </c>
      <c r="EA44" s="14">
        <f t="shared" si="92"/>
        <v>58.443338317957313</v>
      </c>
    </row>
    <row r="45" spans="5:131" x14ac:dyDescent="0.25">
      <c r="E45" s="19"/>
      <c r="F45" s="1">
        <v>300</v>
      </c>
      <c r="G45" s="6">
        <f t="shared" si="93"/>
        <v>279.60238189843898</v>
      </c>
      <c r="H45" s="6">
        <f t="shared" si="94"/>
        <v>259.39052202088476</v>
      </c>
      <c r="I45" s="6">
        <f t="shared" si="95"/>
        <v>239.5464989466829</v>
      </c>
      <c r="J45" s="6">
        <f t="shared" si="96"/>
        <v>220.2451684885815</v>
      </c>
      <c r="K45" s="6">
        <f t="shared" si="97"/>
        <v>201.6508851465241</v>
      </c>
      <c r="L45" s="6">
        <f t="shared" si="98"/>
        <v>183.91459994832275</v>
      </c>
      <c r="M45" s="6">
        <f t="shared" si="99"/>
        <v>167.17142380142872</v>
      </c>
      <c r="N45" s="6">
        <f t="shared" si="100"/>
        <v>151.53871817574776</v>
      </c>
      <c r="O45" s="6">
        <f t="shared" si="101"/>
        <v>137.11474516914944</v>
      </c>
      <c r="P45" s="6">
        <f t="shared" si="102"/>
        <v>123.97787905131753</v>
      </c>
      <c r="Q45" s="6">
        <f t="shared" si="103"/>
        <v>112.18635342884849</v>
      </c>
      <c r="R45" s="6">
        <f t="shared" si="104"/>
        <v>101.77849413799134</v>
      </c>
      <c r="S45" s="6">
        <f t="shared" si="29"/>
        <v>92.773369328193382</v>
      </c>
      <c r="T45" s="6">
        <f t="shared" si="30"/>
        <v>85.171775882257833</v>
      </c>
      <c r="U45" s="6">
        <f t="shared" si="31"/>
        <v>78.957475664875133</v>
      </c>
      <c r="V45" s="6">
        <f t="shared" si="32"/>
        <v>74.098595852212952</v>
      </c>
      <c r="W45" s="6">
        <f t="shared" si="33"/>
        <v>70.549114002070283</v>
      </c>
      <c r="X45" s="6">
        <f t="shared" si="34"/>
        <v>68.250359397994416</v>
      </c>
      <c r="Y45" s="6">
        <f t="shared" si="35"/>
        <v>67.132476096138419</v>
      </c>
      <c r="Z45" s="6">
        <f t="shared" si="36"/>
        <v>67.115808466880438</v>
      </c>
      <c r="AA45" s="6">
        <f t="shared" si="37"/>
        <v>68.112185350315258</v>
      </c>
      <c r="AB45" s="6">
        <f t="shared" si="38"/>
        <v>70.026092922154973</v>
      </c>
      <c r="AC45" s="6">
        <f t="shared" si="39"/>
        <v>72.755737982537312</v>
      </c>
      <c r="AD45" s="6">
        <f t="shared" si="40"/>
        <v>76.194011996859118</v>
      </c>
      <c r="AE45" s="6">
        <f t="shared" si="41"/>
        <v>80.229371599451639</v>
      </c>
      <c r="AF45" s="6">
        <f t="shared" si="42"/>
        <v>84.746653568698292</v>
      </c>
      <c r="AG45" s="6">
        <f t="shared" si="43"/>
        <v>89.627841977896395</v>
      </c>
      <c r="AH45" s="6">
        <f t="shared" si="11"/>
        <v>94.752803044535426</v>
      </c>
      <c r="AI45" s="1">
        <v>100</v>
      </c>
      <c r="AJ45" s="3"/>
      <c r="AK45" s="18"/>
      <c r="AL45" s="14">
        <f t="shared" si="12"/>
        <v>-1076400000</v>
      </c>
      <c r="AM45" s="14">
        <f t="shared" si="44"/>
        <v>-1002494721.9862063</v>
      </c>
      <c r="AN45" s="14">
        <f t="shared" si="45"/>
        <v>-929270179.55348611</v>
      </c>
      <c r="AO45" s="14">
        <f t="shared" si="46"/>
        <v>-857393377.56605208</v>
      </c>
      <c r="AP45" s="14">
        <f t="shared" si="47"/>
        <v>-787504382.06390262</v>
      </c>
      <c r="AQ45" s="14">
        <f t="shared" si="48"/>
        <v>-720204124.28640723</v>
      </c>
      <c r="AR45" s="14">
        <f t="shared" si="49"/>
        <v>-656043642.93869436</v>
      </c>
      <c r="AS45" s="14">
        <f t="shared" si="50"/>
        <v>-595515102.34116125</v>
      </c>
      <c r="AT45" s="14">
        <f t="shared" si="51"/>
        <v>-539044817.80439973</v>
      </c>
      <c r="AU45" s="14">
        <f t="shared" si="52"/>
        <v>-486988403.95702648</v>
      </c>
      <c r="AV45" s="14">
        <f t="shared" si="53"/>
        <v>-439628045.79576647</v>
      </c>
      <c r="AW45" s="14">
        <f t="shared" si="54"/>
        <v>-397171784.53223461</v>
      </c>
      <c r="AX45" s="14">
        <f t="shared" si="55"/>
        <v>-359754618.35368752</v>
      </c>
      <c r="AY45" s="14">
        <f t="shared" si="56"/>
        <v>-327441147.71531975</v>
      </c>
      <c r="AZ45" s="14">
        <f t="shared" si="57"/>
        <v>-300229449.28156149</v>
      </c>
      <c r="BA45" s="14">
        <f t="shared" si="58"/>
        <v>-278055843.30787027</v>
      </c>
      <c r="BB45" s="14">
        <f t="shared" si="59"/>
        <v>-260800224.95993719</v>
      </c>
      <c r="BC45" s="14">
        <f t="shared" si="60"/>
        <v>-248291657.6152941</v>
      </c>
      <c r="BD45" s="14">
        <f t="shared" si="61"/>
        <v>-240313970.80023614</v>
      </c>
      <c r="BE45" s="14">
        <f t="shared" si="62"/>
        <v>-236611161.28193206</v>
      </c>
      <c r="BF45" s="14">
        <f t="shared" si="63"/>
        <v>-236892456.77736366</v>
      </c>
      <c r="BG45" s="14">
        <f t="shared" si="64"/>
        <v>-240836961.81576803</v>
      </c>
      <c r="BH45" s="14">
        <f t="shared" si="65"/>
        <v>-248097859.35651609</v>
      </c>
      <c r="BI45" s="14">
        <f t="shared" si="66"/>
        <v>-258306185.91013372</v>
      </c>
      <c r="BJ45" s="14">
        <f t="shared" si="22"/>
        <v>-271074229.73794639</v>
      </c>
      <c r="BK45" s="14">
        <f t="shared" si="23"/>
        <v>-285998620.43119431</v>
      </c>
      <c r="BL45" s="14">
        <f t="shared" si="24"/>
        <v>-302663184.55089325</v>
      </c>
      <c r="BM45" s="14">
        <f t="shared" si="25"/>
        <v>-320641638.11411631</v>
      </c>
      <c r="BN45" s="14">
        <f t="shared" si="26"/>
        <v>-339500175.56428277</v>
      </c>
      <c r="BO45" s="14">
        <f t="shared" si="27"/>
        <v>-358800000</v>
      </c>
      <c r="BQ45" s="21"/>
      <c r="BR45" s="1">
        <v>0</v>
      </c>
      <c r="BS45" s="14">
        <f t="shared" ref="BS45:CU45" si="110">$C$16/($C$17-$C$18*BR45)</f>
        <v>0.3415922014622258</v>
      </c>
      <c r="BT45" s="14">
        <f t="shared" si="110"/>
        <v>0.3867162803971414</v>
      </c>
      <c r="BU45" s="14">
        <f t="shared" si="110"/>
        <v>0.39358441341045353</v>
      </c>
      <c r="BV45" s="14">
        <f t="shared" si="110"/>
        <v>0.39465123071155611</v>
      </c>
      <c r="BW45" s="14">
        <f t="shared" si="110"/>
        <v>0.39481745705771337</v>
      </c>
      <c r="BX45" s="14">
        <f t="shared" si="110"/>
        <v>0.39484337025824801</v>
      </c>
      <c r="BY45" s="14">
        <f t="shared" si="110"/>
        <v>0.39484741020089792</v>
      </c>
      <c r="BZ45" s="14">
        <f t="shared" si="110"/>
        <v>0.39484804004704999</v>
      </c>
      <c r="CA45" s="14">
        <f t="shared" si="110"/>
        <v>0.39484813824322279</v>
      </c>
      <c r="CB45" s="14">
        <f t="shared" si="110"/>
        <v>0.39484815355250286</v>
      </c>
      <c r="CC45" s="14">
        <f t="shared" si="110"/>
        <v>0.39484815593929717</v>
      </c>
      <c r="CD45" s="14">
        <f t="shared" si="110"/>
        <v>0.39484815631141046</v>
      </c>
      <c r="CE45" s="14">
        <f t="shared" si="110"/>
        <v>0.39484815636942483</v>
      </c>
      <c r="CF45" s="14">
        <f t="shared" si="110"/>
        <v>0.39484815637846954</v>
      </c>
      <c r="CG45" s="14">
        <f t="shared" si="110"/>
        <v>0.39484815637987963</v>
      </c>
      <c r="CH45" s="14">
        <f t="shared" si="110"/>
        <v>0.39484815638009951</v>
      </c>
      <c r="CI45" s="14">
        <f t="shared" si="110"/>
        <v>0.39484815638013382</v>
      </c>
      <c r="CJ45" s="14">
        <f t="shared" si="110"/>
        <v>0.39484815638013915</v>
      </c>
      <c r="CK45" s="14">
        <f t="shared" si="110"/>
        <v>0.39484815638013998</v>
      </c>
      <c r="CL45" s="14">
        <f t="shared" si="110"/>
        <v>0.39484815638014015</v>
      </c>
      <c r="CM45" s="14">
        <f t="shared" si="110"/>
        <v>0.39484815638014015</v>
      </c>
      <c r="CN45" s="14">
        <f t="shared" si="110"/>
        <v>0.39484815638014015</v>
      </c>
      <c r="CO45" s="14">
        <f t="shared" si="110"/>
        <v>0.39484815638014015</v>
      </c>
      <c r="CP45" s="14">
        <f t="shared" si="110"/>
        <v>0.39484815638014015</v>
      </c>
      <c r="CQ45" s="14">
        <f t="shared" si="110"/>
        <v>0.39484815638014015</v>
      </c>
      <c r="CR45" s="14">
        <f t="shared" si="110"/>
        <v>0.39484815638014015</v>
      </c>
      <c r="CS45" s="14">
        <f t="shared" si="110"/>
        <v>0.39484815638014015</v>
      </c>
      <c r="CT45" s="14">
        <f t="shared" si="110"/>
        <v>0.39484815638014015</v>
      </c>
      <c r="CU45" s="14">
        <f t="shared" si="110"/>
        <v>0.39484815638014015</v>
      </c>
      <c r="CW45" s="23"/>
      <c r="CX45" s="1">
        <f t="shared" si="14"/>
        <v>300</v>
      </c>
      <c r="CY45" s="14">
        <f t="shared" si="15"/>
        <v>190.99660244288899</v>
      </c>
      <c r="CZ45" s="14">
        <f t="shared" si="106"/>
        <v>166.75399096606583</v>
      </c>
      <c r="DA45" s="14">
        <f t="shared" si="107"/>
        <v>152.86143350061803</v>
      </c>
      <c r="DB45" s="14">
        <f t="shared" si="108"/>
        <v>140.66339849143111</v>
      </c>
      <c r="DC45" s="14">
        <f t="shared" si="68"/>
        <v>129.03819047914067</v>
      </c>
      <c r="DD45" s="14">
        <f t="shared" si="69"/>
        <v>117.90807156369672</v>
      </c>
      <c r="DE45" s="14">
        <f t="shared" si="70"/>
        <v>107.33675338457097</v>
      </c>
      <c r="DF45" s="14">
        <f t="shared" si="71"/>
        <v>97.399229784158379</v>
      </c>
      <c r="DG45" s="14">
        <f t="shared" si="72"/>
        <v>88.162310442393249</v>
      </c>
      <c r="DH45" s="14">
        <f t="shared" si="73"/>
        <v>79.681304546148198</v>
      </c>
      <c r="DI45" s="14">
        <f t="shared" si="74"/>
        <v>71.999302704184046</v>
      </c>
      <c r="DJ45" s="14">
        <f t="shared" si="75"/>
        <v>65.147100303956634</v>
      </c>
      <c r="DK45" s="14">
        <f t="shared" si="76"/>
        <v>59.143450646374042</v>
      </c>
      <c r="DL45" s="14">
        <f t="shared" si="77"/>
        <v>53.995562183684008</v>
      </c>
      <c r="DM45" s="14">
        <f t="shared" si="78"/>
        <v>49.699781702291055</v>
      </c>
      <c r="DN45" s="14">
        <f t="shared" si="79"/>
        <v>46.242408254246044</v>
      </c>
      <c r="DO45" s="14">
        <f t="shared" si="80"/>
        <v>43.600585421490649</v>
      </c>
      <c r="DP45" s="14">
        <f t="shared" si="81"/>
        <v>41.743224978200395</v>
      </c>
      <c r="DQ45" s="14">
        <f t="shared" si="82"/>
        <v>40.631922859028094</v>
      </c>
      <c r="DR45" s="14">
        <f t="shared" si="83"/>
        <v>40.22183765428607</v>
      </c>
      <c r="DS45" s="14">
        <f t="shared" si="84"/>
        <v>40.462511661497992</v>
      </c>
      <c r="DT45" s="14">
        <f t="shared" si="85"/>
        <v>41.29862391367358</v>
      </c>
      <c r="DU45" s="14">
        <f t="shared" si="86"/>
        <v>42.670672818371216</v>
      </c>
      <c r="DV45" s="14">
        <f t="shared" si="87"/>
        <v>44.515592533278458</v>
      </c>
      <c r="DW45" s="14">
        <f t="shared" si="88"/>
        <v>46.767311678464687</v>
      </c>
      <c r="DX45" s="14">
        <f t="shared" si="89"/>
        <v>49.35726540339536</v>
      </c>
      <c r="DY45" s="14">
        <f t="shared" si="90"/>
        <v>52.21487238391105</v>
      </c>
      <c r="DZ45" s="14">
        <f t="shared" si="91"/>
        <v>55.267987406521421</v>
      </c>
      <c r="EA45" s="14">
        <f t="shared" si="92"/>
        <v>58.443338317957313</v>
      </c>
    </row>
    <row r="46" spans="5:131" x14ac:dyDescent="0.25">
      <c r="E46" s="19"/>
      <c r="F46" s="1">
        <v>300</v>
      </c>
      <c r="G46" s="6">
        <f t="shared" si="93"/>
        <v>279.60238189843898</v>
      </c>
      <c r="H46" s="6">
        <f t="shared" si="94"/>
        <v>259.39052202088476</v>
      </c>
      <c r="I46" s="6">
        <f t="shared" si="95"/>
        <v>239.5464989466829</v>
      </c>
      <c r="J46" s="6">
        <f t="shared" si="96"/>
        <v>220.2451684885815</v>
      </c>
      <c r="K46" s="6">
        <f t="shared" si="97"/>
        <v>201.6508851465241</v>
      </c>
      <c r="L46" s="6">
        <f t="shared" si="98"/>
        <v>183.91459994832275</v>
      </c>
      <c r="M46" s="6">
        <f t="shared" si="99"/>
        <v>167.17142380142872</v>
      </c>
      <c r="N46" s="6">
        <f t="shared" si="100"/>
        <v>151.53871817574773</v>
      </c>
      <c r="O46" s="6">
        <f t="shared" si="101"/>
        <v>137.11474516914944</v>
      </c>
      <c r="P46" s="6">
        <f t="shared" si="102"/>
        <v>123.97787905131753</v>
      </c>
      <c r="Q46" s="6">
        <f t="shared" si="103"/>
        <v>112.18635342884849</v>
      </c>
      <c r="R46" s="6">
        <f t="shared" si="104"/>
        <v>101.77849413799134</v>
      </c>
      <c r="S46" s="6">
        <f t="shared" si="29"/>
        <v>92.773369328193382</v>
      </c>
      <c r="T46" s="6">
        <f t="shared" si="30"/>
        <v>85.171775882257819</v>
      </c>
      <c r="U46" s="6">
        <f t="shared" si="31"/>
        <v>78.957475664875133</v>
      </c>
      <c r="V46" s="6">
        <f t="shared" si="32"/>
        <v>74.098595852212952</v>
      </c>
      <c r="W46" s="6">
        <f t="shared" si="33"/>
        <v>70.549114002070269</v>
      </c>
      <c r="X46" s="6">
        <f t="shared" si="34"/>
        <v>68.250359397994416</v>
      </c>
      <c r="Y46" s="6">
        <f t="shared" si="35"/>
        <v>67.132476096138419</v>
      </c>
      <c r="Z46" s="6">
        <f t="shared" si="36"/>
        <v>67.115808466880438</v>
      </c>
      <c r="AA46" s="6">
        <f t="shared" si="37"/>
        <v>68.112185350315258</v>
      </c>
      <c r="AB46" s="6">
        <f t="shared" si="38"/>
        <v>70.026092922154973</v>
      </c>
      <c r="AC46" s="6">
        <f t="shared" si="39"/>
        <v>72.755737982537312</v>
      </c>
      <c r="AD46" s="6">
        <f t="shared" si="40"/>
        <v>76.194011996859103</v>
      </c>
      <c r="AE46" s="6">
        <f t="shared" si="41"/>
        <v>80.229371599451611</v>
      </c>
      <c r="AF46" s="6">
        <f t="shared" si="42"/>
        <v>84.746653568698264</v>
      </c>
      <c r="AG46" s="6">
        <f t="shared" si="43"/>
        <v>89.627841977896367</v>
      </c>
      <c r="AH46" s="6">
        <f t="shared" si="11"/>
        <v>94.752803044535426</v>
      </c>
      <c r="AI46" s="1">
        <v>100</v>
      </c>
      <c r="AJ46" s="3"/>
      <c r="AK46" s="18"/>
      <c r="AL46" s="14">
        <f t="shared" si="12"/>
        <v>-1076400000</v>
      </c>
      <c r="AM46" s="14">
        <f t="shared" si="44"/>
        <v>-1002494721.9862063</v>
      </c>
      <c r="AN46" s="14">
        <f t="shared" si="45"/>
        <v>-929270179.55348599</v>
      </c>
      <c r="AO46" s="14">
        <f t="shared" si="46"/>
        <v>-857393377.56605184</v>
      </c>
      <c r="AP46" s="14">
        <f t="shared" si="47"/>
        <v>-787504382.06390262</v>
      </c>
      <c r="AQ46" s="14">
        <f t="shared" si="48"/>
        <v>-720204124.28640711</v>
      </c>
      <c r="AR46" s="14">
        <f t="shared" si="49"/>
        <v>-656043642.93869436</v>
      </c>
      <c r="AS46" s="14">
        <f t="shared" si="50"/>
        <v>-595515102.34116125</v>
      </c>
      <c r="AT46" s="14">
        <f t="shared" si="51"/>
        <v>-539044817.80439949</v>
      </c>
      <c r="AU46" s="14">
        <f t="shared" si="52"/>
        <v>-486988403.95702642</v>
      </c>
      <c r="AV46" s="14">
        <f t="shared" si="53"/>
        <v>-439628045.79576647</v>
      </c>
      <c r="AW46" s="14">
        <f t="shared" si="54"/>
        <v>-397171784.53223461</v>
      </c>
      <c r="AX46" s="14">
        <f t="shared" si="55"/>
        <v>-359754618.35368752</v>
      </c>
      <c r="AY46" s="14">
        <f t="shared" si="56"/>
        <v>-327441147.71531975</v>
      </c>
      <c r="AZ46" s="14">
        <f t="shared" si="57"/>
        <v>-300229449.28156143</v>
      </c>
      <c r="BA46" s="14">
        <f t="shared" si="58"/>
        <v>-278055843.30787027</v>
      </c>
      <c r="BB46" s="14">
        <f t="shared" si="59"/>
        <v>-260800224.95993719</v>
      </c>
      <c r="BC46" s="14">
        <f t="shared" si="60"/>
        <v>-248291657.61529404</v>
      </c>
      <c r="BD46" s="14">
        <f t="shared" si="61"/>
        <v>-240313970.80023614</v>
      </c>
      <c r="BE46" s="14">
        <f t="shared" si="62"/>
        <v>-236611161.28193206</v>
      </c>
      <c r="BF46" s="14">
        <f t="shared" si="63"/>
        <v>-236892456.77736366</v>
      </c>
      <c r="BG46" s="14">
        <f t="shared" si="64"/>
        <v>-240836961.815768</v>
      </c>
      <c r="BH46" s="14">
        <f t="shared" si="65"/>
        <v>-248097859.35651609</v>
      </c>
      <c r="BI46" s="14">
        <f t="shared" si="66"/>
        <v>-258306185.91013372</v>
      </c>
      <c r="BJ46" s="14">
        <f t="shared" si="22"/>
        <v>-271074229.73794633</v>
      </c>
      <c r="BK46" s="14">
        <f t="shared" si="23"/>
        <v>-285998620.43119431</v>
      </c>
      <c r="BL46" s="14">
        <f t="shared" si="24"/>
        <v>-302663184.55089319</v>
      </c>
      <c r="BM46" s="14">
        <f t="shared" si="25"/>
        <v>-320641638.11411619</v>
      </c>
      <c r="BN46" s="14">
        <f t="shared" si="26"/>
        <v>-339500175.56428272</v>
      </c>
      <c r="BO46" s="14">
        <f t="shared" si="27"/>
        <v>-358800000</v>
      </c>
      <c r="BQ46" s="21"/>
      <c r="BR46" s="1">
        <v>0</v>
      </c>
      <c r="BS46" s="14">
        <f t="shared" ref="BS46:CU46" si="111">$C$16/($C$17-$C$18*BR46)</f>
        <v>0.3415922014622258</v>
      </c>
      <c r="BT46" s="14">
        <f t="shared" si="111"/>
        <v>0.3867162803971414</v>
      </c>
      <c r="BU46" s="14">
        <f t="shared" si="111"/>
        <v>0.39358441341045353</v>
      </c>
      <c r="BV46" s="14">
        <f t="shared" si="111"/>
        <v>0.39465123071155611</v>
      </c>
      <c r="BW46" s="14">
        <f t="shared" si="111"/>
        <v>0.39481745705771337</v>
      </c>
      <c r="BX46" s="14">
        <f t="shared" si="111"/>
        <v>0.39484337025824801</v>
      </c>
      <c r="BY46" s="14">
        <f t="shared" si="111"/>
        <v>0.39484741020089792</v>
      </c>
      <c r="BZ46" s="14">
        <f t="shared" si="111"/>
        <v>0.39484804004704999</v>
      </c>
      <c r="CA46" s="14">
        <f t="shared" si="111"/>
        <v>0.39484813824322279</v>
      </c>
      <c r="CB46" s="14">
        <f t="shared" si="111"/>
        <v>0.39484815355250286</v>
      </c>
      <c r="CC46" s="14">
        <f t="shared" si="111"/>
        <v>0.39484815593929717</v>
      </c>
      <c r="CD46" s="14">
        <f t="shared" si="111"/>
        <v>0.39484815631141046</v>
      </c>
      <c r="CE46" s="14">
        <f t="shared" si="111"/>
        <v>0.39484815636942483</v>
      </c>
      <c r="CF46" s="14">
        <f t="shared" si="111"/>
        <v>0.39484815637846954</v>
      </c>
      <c r="CG46" s="14">
        <f t="shared" si="111"/>
        <v>0.39484815637987963</v>
      </c>
      <c r="CH46" s="14">
        <f t="shared" si="111"/>
        <v>0.39484815638009951</v>
      </c>
      <c r="CI46" s="14">
        <f t="shared" si="111"/>
        <v>0.39484815638013382</v>
      </c>
      <c r="CJ46" s="14">
        <f t="shared" si="111"/>
        <v>0.39484815638013915</v>
      </c>
      <c r="CK46" s="14">
        <f t="shared" si="111"/>
        <v>0.39484815638013998</v>
      </c>
      <c r="CL46" s="14">
        <f t="shared" si="111"/>
        <v>0.39484815638014015</v>
      </c>
      <c r="CM46" s="14">
        <f t="shared" si="111"/>
        <v>0.39484815638014015</v>
      </c>
      <c r="CN46" s="14">
        <f t="shared" si="111"/>
        <v>0.39484815638014015</v>
      </c>
      <c r="CO46" s="14">
        <f t="shared" si="111"/>
        <v>0.39484815638014015</v>
      </c>
      <c r="CP46" s="14">
        <f t="shared" si="111"/>
        <v>0.39484815638014015</v>
      </c>
      <c r="CQ46" s="14">
        <f t="shared" si="111"/>
        <v>0.39484815638014015</v>
      </c>
      <c r="CR46" s="14">
        <f t="shared" si="111"/>
        <v>0.39484815638014015</v>
      </c>
      <c r="CS46" s="14">
        <f t="shared" si="111"/>
        <v>0.39484815638014015</v>
      </c>
      <c r="CT46" s="14">
        <f t="shared" si="111"/>
        <v>0.39484815638014015</v>
      </c>
      <c r="CU46" s="14">
        <f t="shared" si="111"/>
        <v>0.39484815638014015</v>
      </c>
      <c r="CW46" s="23"/>
      <c r="CX46" s="1">
        <f t="shared" si="14"/>
        <v>300</v>
      </c>
      <c r="CY46" s="14">
        <f t="shared" si="15"/>
        <v>190.99660244288899</v>
      </c>
      <c r="CZ46" s="14">
        <f t="shared" si="106"/>
        <v>166.75399096606583</v>
      </c>
      <c r="DA46" s="14">
        <f t="shared" si="107"/>
        <v>152.86143350061803</v>
      </c>
      <c r="DB46" s="14">
        <f t="shared" si="108"/>
        <v>140.66339849143111</v>
      </c>
      <c r="DC46" s="14">
        <f t="shared" si="68"/>
        <v>129.03819047914067</v>
      </c>
      <c r="DD46" s="14">
        <f t="shared" si="69"/>
        <v>117.90807156369672</v>
      </c>
      <c r="DE46" s="14">
        <f t="shared" si="70"/>
        <v>107.33675338457097</v>
      </c>
      <c r="DF46" s="14">
        <f t="shared" si="71"/>
        <v>97.399229784158351</v>
      </c>
      <c r="DG46" s="14">
        <f t="shared" si="72"/>
        <v>88.162310442393249</v>
      </c>
      <c r="DH46" s="14">
        <f t="shared" si="73"/>
        <v>79.681304546148198</v>
      </c>
      <c r="DI46" s="14">
        <f t="shared" si="74"/>
        <v>71.999302704184046</v>
      </c>
      <c r="DJ46" s="14">
        <f t="shared" si="75"/>
        <v>65.147100303956634</v>
      </c>
      <c r="DK46" s="14">
        <f t="shared" si="76"/>
        <v>59.143450646374042</v>
      </c>
      <c r="DL46" s="14">
        <f t="shared" si="77"/>
        <v>53.995562183684001</v>
      </c>
      <c r="DM46" s="14">
        <f t="shared" si="78"/>
        <v>49.699781702291048</v>
      </c>
      <c r="DN46" s="14">
        <f t="shared" si="79"/>
        <v>46.242408254246044</v>
      </c>
      <c r="DO46" s="14">
        <f t="shared" si="80"/>
        <v>43.600585421490642</v>
      </c>
      <c r="DP46" s="14">
        <f t="shared" si="81"/>
        <v>41.743224978200395</v>
      </c>
      <c r="DQ46" s="14">
        <f t="shared" si="82"/>
        <v>40.631922859028094</v>
      </c>
      <c r="DR46" s="14">
        <f t="shared" si="83"/>
        <v>40.22183765428607</v>
      </c>
      <c r="DS46" s="14">
        <f t="shared" si="84"/>
        <v>40.462511661497985</v>
      </c>
      <c r="DT46" s="14">
        <f t="shared" si="85"/>
        <v>41.29862391367358</v>
      </c>
      <c r="DU46" s="14">
        <f t="shared" si="86"/>
        <v>42.670672818371216</v>
      </c>
      <c r="DV46" s="14">
        <f t="shared" si="87"/>
        <v>44.515592533278458</v>
      </c>
      <c r="DW46" s="14">
        <f t="shared" si="88"/>
        <v>46.767311678464687</v>
      </c>
      <c r="DX46" s="14">
        <f t="shared" si="89"/>
        <v>49.357265403395353</v>
      </c>
      <c r="DY46" s="14">
        <f t="shared" si="90"/>
        <v>52.214872383911029</v>
      </c>
      <c r="DZ46" s="14">
        <f t="shared" si="91"/>
        <v>55.267987406521407</v>
      </c>
      <c r="EA46" s="14">
        <f t="shared" si="92"/>
        <v>58.443338317957313</v>
      </c>
    </row>
    <row r="47" spans="5:131" ht="14.25" customHeight="1" x14ac:dyDescent="0.25">
      <c r="E47" s="19"/>
      <c r="F47" s="1">
        <v>300</v>
      </c>
      <c r="G47" s="6">
        <f t="shared" si="93"/>
        <v>279.60238189843915</v>
      </c>
      <c r="H47" s="6">
        <f t="shared" si="94"/>
        <v>259.39052202088487</v>
      </c>
      <c r="I47" s="6">
        <f t="shared" si="95"/>
        <v>239.54649894668293</v>
      </c>
      <c r="J47" s="6">
        <f t="shared" si="96"/>
        <v>220.24516848858156</v>
      </c>
      <c r="K47" s="6">
        <f t="shared" si="97"/>
        <v>201.65088514652416</v>
      </c>
      <c r="L47" s="6">
        <f t="shared" si="98"/>
        <v>183.91459994832275</v>
      </c>
      <c r="M47" s="6">
        <f t="shared" si="99"/>
        <v>167.17142380142872</v>
      </c>
      <c r="N47" s="6">
        <f t="shared" si="100"/>
        <v>151.53871817574776</v>
      </c>
      <c r="O47" s="6">
        <f t="shared" si="101"/>
        <v>137.11474516914944</v>
      </c>
      <c r="P47" s="6">
        <f t="shared" si="102"/>
        <v>123.97787905131753</v>
      </c>
      <c r="Q47" s="6">
        <f t="shared" si="103"/>
        <v>112.18635342884849</v>
      </c>
      <c r="R47" s="6">
        <f t="shared" si="104"/>
        <v>101.77849413799134</v>
      </c>
      <c r="S47" s="6">
        <f t="shared" si="29"/>
        <v>92.773369328193382</v>
      </c>
      <c r="T47" s="6">
        <f t="shared" si="30"/>
        <v>85.171775882257819</v>
      </c>
      <c r="U47" s="6">
        <f t="shared" si="31"/>
        <v>78.957475664875133</v>
      </c>
      <c r="V47" s="6">
        <f t="shared" si="32"/>
        <v>74.098595852212952</v>
      </c>
      <c r="W47" s="6">
        <f t="shared" si="33"/>
        <v>70.549114002070269</v>
      </c>
      <c r="X47" s="6">
        <f t="shared" si="34"/>
        <v>68.250359397994416</v>
      </c>
      <c r="Y47" s="6">
        <f t="shared" si="35"/>
        <v>67.132476096138419</v>
      </c>
      <c r="Z47" s="6">
        <f t="shared" si="36"/>
        <v>67.115808466880438</v>
      </c>
      <c r="AA47" s="6">
        <f t="shared" si="37"/>
        <v>68.112185350315258</v>
      </c>
      <c r="AB47" s="6">
        <f t="shared" si="38"/>
        <v>70.026092922154973</v>
      </c>
      <c r="AC47" s="6">
        <f t="shared" si="39"/>
        <v>72.755737982537312</v>
      </c>
      <c r="AD47" s="6">
        <f t="shared" si="40"/>
        <v>76.194011996859118</v>
      </c>
      <c r="AE47" s="6">
        <f t="shared" si="41"/>
        <v>80.229371599451639</v>
      </c>
      <c r="AF47" s="6">
        <f t="shared" si="42"/>
        <v>84.746653568698292</v>
      </c>
      <c r="AG47" s="6">
        <f t="shared" si="43"/>
        <v>89.627841977896395</v>
      </c>
      <c r="AH47" s="6">
        <f t="shared" si="11"/>
        <v>94.752803044535426</v>
      </c>
      <c r="AI47" s="1">
        <v>100</v>
      </c>
      <c r="AJ47" s="3"/>
      <c r="AK47" s="18"/>
      <c r="AL47" s="14">
        <f t="shared" si="12"/>
        <v>-1076400000</v>
      </c>
      <c r="AM47" s="14">
        <f t="shared" si="44"/>
        <v>-1002494721.9862078</v>
      </c>
      <c r="AN47" s="14">
        <f t="shared" si="45"/>
        <v>-929270179.55348611</v>
      </c>
      <c r="AO47" s="14">
        <f t="shared" si="46"/>
        <v>-857393377.56605196</v>
      </c>
      <c r="AP47" s="14">
        <f t="shared" si="47"/>
        <v>-787504382.06390285</v>
      </c>
      <c r="AQ47" s="14">
        <f t="shared" si="48"/>
        <v>-720204124.28640723</v>
      </c>
      <c r="AR47" s="14">
        <f t="shared" si="49"/>
        <v>-656043642.93869448</v>
      </c>
      <c r="AS47" s="14">
        <f t="shared" si="50"/>
        <v>-595515102.34116137</v>
      </c>
      <c r="AT47" s="14">
        <f t="shared" si="51"/>
        <v>-539044817.80439961</v>
      </c>
      <c r="AU47" s="14">
        <f t="shared" si="52"/>
        <v>-486988403.95702648</v>
      </c>
      <c r="AV47" s="14">
        <f t="shared" si="53"/>
        <v>-439628045.79576647</v>
      </c>
      <c r="AW47" s="14">
        <f t="shared" si="54"/>
        <v>-397171784.53223467</v>
      </c>
      <c r="AX47" s="14">
        <f t="shared" si="55"/>
        <v>-359754618.35368752</v>
      </c>
      <c r="AY47" s="14">
        <f t="shared" si="56"/>
        <v>-327441147.71531981</v>
      </c>
      <c r="AZ47" s="14">
        <f t="shared" si="57"/>
        <v>-300229449.28156137</v>
      </c>
      <c r="BA47" s="14">
        <f t="shared" si="58"/>
        <v>-278055843.30787027</v>
      </c>
      <c r="BB47" s="14">
        <f t="shared" si="59"/>
        <v>-260800224.95993724</v>
      </c>
      <c r="BC47" s="14">
        <f t="shared" si="60"/>
        <v>-248291657.61529404</v>
      </c>
      <c r="BD47" s="14">
        <f t="shared" si="61"/>
        <v>-240313970.80023617</v>
      </c>
      <c r="BE47" s="14">
        <f t="shared" si="62"/>
        <v>-236611161.28193206</v>
      </c>
      <c r="BF47" s="14">
        <f t="shared" si="63"/>
        <v>-236892456.77736366</v>
      </c>
      <c r="BG47" s="14">
        <f t="shared" si="64"/>
        <v>-240836961.81576803</v>
      </c>
      <c r="BH47" s="14">
        <f t="shared" si="65"/>
        <v>-248097859.35651609</v>
      </c>
      <c r="BI47" s="14">
        <f t="shared" si="66"/>
        <v>-258306185.91013375</v>
      </c>
      <c r="BJ47" s="14">
        <f t="shared" si="22"/>
        <v>-271074229.73794639</v>
      </c>
      <c r="BK47" s="14">
        <f t="shared" si="23"/>
        <v>-285998620.43119431</v>
      </c>
      <c r="BL47" s="14">
        <f t="shared" si="24"/>
        <v>-302663184.55089325</v>
      </c>
      <c r="BM47" s="14">
        <f t="shared" si="25"/>
        <v>-320641638.11411625</v>
      </c>
      <c r="BN47" s="14">
        <f t="shared" si="26"/>
        <v>-339500175.56428277</v>
      </c>
      <c r="BO47" s="14">
        <f t="shared" si="27"/>
        <v>-358800000</v>
      </c>
      <c r="BQ47" s="21"/>
      <c r="BR47" s="1">
        <v>0</v>
      </c>
      <c r="BS47" s="14">
        <f t="shared" ref="BS47:CU47" si="112">$C$16/($C$17-$C$18*BR47)</f>
        <v>0.3415922014622258</v>
      </c>
      <c r="BT47" s="14">
        <f t="shared" si="112"/>
        <v>0.3867162803971414</v>
      </c>
      <c r="BU47" s="14">
        <f t="shared" si="112"/>
        <v>0.39358441341045353</v>
      </c>
      <c r="BV47" s="14">
        <f t="shared" si="112"/>
        <v>0.39465123071155611</v>
      </c>
      <c r="BW47" s="14">
        <f t="shared" si="112"/>
        <v>0.39481745705771337</v>
      </c>
      <c r="BX47" s="14">
        <f t="shared" si="112"/>
        <v>0.39484337025824801</v>
      </c>
      <c r="BY47" s="14">
        <f t="shared" si="112"/>
        <v>0.39484741020089792</v>
      </c>
      <c r="BZ47" s="14">
        <f t="shared" si="112"/>
        <v>0.39484804004704999</v>
      </c>
      <c r="CA47" s="14">
        <f t="shared" si="112"/>
        <v>0.39484813824322279</v>
      </c>
      <c r="CB47" s="14">
        <f t="shared" si="112"/>
        <v>0.39484815355250286</v>
      </c>
      <c r="CC47" s="14">
        <f t="shared" si="112"/>
        <v>0.39484815593929717</v>
      </c>
      <c r="CD47" s="14">
        <f t="shared" si="112"/>
        <v>0.39484815631141046</v>
      </c>
      <c r="CE47" s="14">
        <f t="shared" si="112"/>
        <v>0.39484815636942483</v>
      </c>
      <c r="CF47" s="14">
        <f t="shared" si="112"/>
        <v>0.39484815637846954</v>
      </c>
      <c r="CG47" s="14">
        <f t="shared" si="112"/>
        <v>0.39484815637987963</v>
      </c>
      <c r="CH47" s="14">
        <f t="shared" si="112"/>
        <v>0.39484815638009951</v>
      </c>
      <c r="CI47" s="14">
        <f t="shared" si="112"/>
        <v>0.39484815638013382</v>
      </c>
      <c r="CJ47" s="14">
        <f t="shared" si="112"/>
        <v>0.39484815638013915</v>
      </c>
      <c r="CK47" s="14">
        <f t="shared" si="112"/>
        <v>0.39484815638013998</v>
      </c>
      <c r="CL47" s="14">
        <f t="shared" si="112"/>
        <v>0.39484815638014015</v>
      </c>
      <c r="CM47" s="14">
        <f t="shared" si="112"/>
        <v>0.39484815638014015</v>
      </c>
      <c r="CN47" s="14">
        <f t="shared" si="112"/>
        <v>0.39484815638014015</v>
      </c>
      <c r="CO47" s="14">
        <f t="shared" si="112"/>
        <v>0.39484815638014015</v>
      </c>
      <c r="CP47" s="14">
        <f t="shared" si="112"/>
        <v>0.39484815638014015</v>
      </c>
      <c r="CQ47" s="14">
        <f t="shared" si="112"/>
        <v>0.39484815638014015</v>
      </c>
      <c r="CR47" s="14">
        <f t="shared" si="112"/>
        <v>0.39484815638014015</v>
      </c>
      <c r="CS47" s="14">
        <f t="shared" si="112"/>
        <v>0.39484815638014015</v>
      </c>
      <c r="CT47" s="14">
        <f t="shared" si="112"/>
        <v>0.39484815638014015</v>
      </c>
      <c r="CU47" s="14">
        <f t="shared" si="112"/>
        <v>0.39484815638014015</v>
      </c>
      <c r="CW47" s="23"/>
      <c r="CX47" s="1">
        <f t="shared" si="14"/>
        <v>300</v>
      </c>
      <c r="CY47" s="14">
        <f t="shared" si="15"/>
        <v>190.99660244288913</v>
      </c>
      <c r="CZ47" s="14">
        <f t="shared" si="106"/>
        <v>166.75399096606589</v>
      </c>
      <c r="DA47" s="14">
        <f t="shared" si="107"/>
        <v>152.86143350061806</v>
      </c>
      <c r="DB47" s="14">
        <f t="shared" si="108"/>
        <v>140.66339849143114</v>
      </c>
      <c r="DC47" s="14">
        <f t="shared" si="68"/>
        <v>129.0381904791407</v>
      </c>
      <c r="DD47" s="14">
        <f t="shared" si="69"/>
        <v>117.90807156369672</v>
      </c>
      <c r="DE47" s="14">
        <f t="shared" si="70"/>
        <v>107.33675338457097</v>
      </c>
      <c r="DF47" s="14">
        <f t="shared" si="71"/>
        <v>97.399229784158379</v>
      </c>
      <c r="DG47" s="14">
        <f t="shared" si="72"/>
        <v>88.162310442393249</v>
      </c>
      <c r="DH47" s="14">
        <f t="shared" si="73"/>
        <v>79.681304546148198</v>
      </c>
      <c r="DI47" s="14">
        <f t="shared" si="74"/>
        <v>71.999302704184046</v>
      </c>
      <c r="DJ47" s="14">
        <f t="shared" si="75"/>
        <v>65.147100303956634</v>
      </c>
      <c r="DK47" s="14">
        <f t="shared" si="76"/>
        <v>59.143450646374049</v>
      </c>
      <c r="DL47" s="14">
        <f t="shared" si="77"/>
        <v>53.995562183684001</v>
      </c>
      <c r="DM47" s="14">
        <f t="shared" si="78"/>
        <v>49.699781702291048</v>
      </c>
      <c r="DN47" s="14">
        <f t="shared" si="79"/>
        <v>46.242408254246051</v>
      </c>
      <c r="DO47" s="14">
        <f t="shared" si="80"/>
        <v>43.600585421490642</v>
      </c>
      <c r="DP47" s="14">
        <f t="shared" si="81"/>
        <v>41.743224978200395</v>
      </c>
      <c r="DQ47" s="14">
        <f t="shared" si="82"/>
        <v>40.631922859028094</v>
      </c>
      <c r="DR47" s="14">
        <f t="shared" si="83"/>
        <v>40.22183765428607</v>
      </c>
      <c r="DS47" s="14">
        <f t="shared" si="84"/>
        <v>40.462511661497992</v>
      </c>
      <c r="DT47" s="14">
        <f t="shared" si="85"/>
        <v>41.29862391367358</v>
      </c>
      <c r="DU47" s="14">
        <f t="shared" si="86"/>
        <v>42.670672818371216</v>
      </c>
      <c r="DV47" s="14">
        <f t="shared" si="87"/>
        <v>44.515592533278458</v>
      </c>
      <c r="DW47" s="14">
        <f t="shared" si="88"/>
        <v>46.767311678464687</v>
      </c>
      <c r="DX47" s="14">
        <f t="shared" si="89"/>
        <v>49.35726540339536</v>
      </c>
      <c r="DY47" s="14">
        <f t="shared" si="90"/>
        <v>52.214872383911043</v>
      </c>
      <c r="DZ47" s="14">
        <f t="shared" si="91"/>
        <v>55.267987406521421</v>
      </c>
      <c r="EA47" s="14">
        <f t="shared" si="92"/>
        <v>58.443338317957313</v>
      </c>
    </row>
    <row r="48" spans="5:131" x14ac:dyDescent="0.25">
      <c r="E48" s="19"/>
      <c r="F48" s="1">
        <v>300</v>
      </c>
      <c r="G48" s="6">
        <f t="shared" si="93"/>
        <v>279.60238189843898</v>
      </c>
      <c r="H48" s="6">
        <f t="shared" si="94"/>
        <v>259.39052202088476</v>
      </c>
      <c r="I48" s="6">
        <f t="shared" si="95"/>
        <v>239.5464989466829</v>
      </c>
      <c r="J48" s="6">
        <f t="shared" si="96"/>
        <v>220.2451684885815</v>
      </c>
      <c r="K48" s="6">
        <f t="shared" si="97"/>
        <v>201.6508851465241</v>
      </c>
      <c r="L48" s="6">
        <f t="shared" si="98"/>
        <v>183.91459994832275</v>
      </c>
      <c r="M48" s="6">
        <f t="shared" si="99"/>
        <v>167.17142380142872</v>
      </c>
      <c r="N48" s="6">
        <f t="shared" si="100"/>
        <v>151.53871817574776</v>
      </c>
      <c r="O48" s="6">
        <f t="shared" si="101"/>
        <v>137.11474516914944</v>
      </c>
      <c r="P48" s="6">
        <f t="shared" si="102"/>
        <v>123.97787905131753</v>
      </c>
      <c r="Q48" s="6">
        <f t="shared" si="103"/>
        <v>112.18635342884849</v>
      </c>
      <c r="R48" s="6">
        <f t="shared" si="104"/>
        <v>101.77849413799134</v>
      </c>
      <c r="S48" s="6">
        <f t="shared" si="29"/>
        <v>92.773369328193382</v>
      </c>
      <c r="T48" s="6">
        <f t="shared" si="30"/>
        <v>85.171775882257819</v>
      </c>
      <c r="U48" s="6">
        <f t="shared" si="31"/>
        <v>78.957475664875133</v>
      </c>
      <c r="V48" s="6">
        <f t="shared" si="32"/>
        <v>74.098595852212966</v>
      </c>
      <c r="W48" s="6">
        <f t="shared" si="33"/>
        <v>70.549114002070283</v>
      </c>
      <c r="X48" s="6">
        <f t="shared" si="34"/>
        <v>68.25035939799443</v>
      </c>
      <c r="Y48" s="6">
        <f t="shared" si="35"/>
        <v>67.132476096138433</v>
      </c>
      <c r="Z48" s="6">
        <f t="shared" si="36"/>
        <v>67.115808466880452</v>
      </c>
      <c r="AA48" s="6">
        <f t="shared" si="37"/>
        <v>68.112185350315272</v>
      </c>
      <c r="AB48" s="6">
        <f t="shared" si="38"/>
        <v>70.026092922154973</v>
      </c>
      <c r="AC48" s="6">
        <f t="shared" si="39"/>
        <v>72.755737982537312</v>
      </c>
      <c r="AD48" s="6">
        <f t="shared" si="40"/>
        <v>76.194011996859118</v>
      </c>
      <c r="AE48" s="6">
        <f t="shared" si="41"/>
        <v>80.229371599451639</v>
      </c>
      <c r="AF48" s="6">
        <f t="shared" si="42"/>
        <v>84.746653568698292</v>
      </c>
      <c r="AG48" s="6">
        <f t="shared" si="43"/>
        <v>89.627841977896395</v>
      </c>
      <c r="AH48" s="6">
        <f t="shared" si="11"/>
        <v>94.752803044535426</v>
      </c>
      <c r="AI48" s="1">
        <v>100</v>
      </c>
      <c r="AJ48" s="3"/>
      <c r="AK48" s="18"/>
      <c r="AL48" s="14">
        <f t="shared" si="12"/>
        <v>-1076400000</v>
      </c>
      <c r="AM48" s="14">
        <f t="shared" si="44"/>
        <v>-1002494721.9862064</v>
      </c>
      <c r="AN48" s="14">
        <f t="shared" si="45"/>
        <v>-929270179.55348611</v>
      </c>
      <c r="AO48" s="14">
        <f t="shared" si="46"/>
        <v>-857393377.56605208</v>
      </c>
      <c r="AP48" s="14">
        <f t="shared" si="47"/>
        <v>-787504382.06390285</v>
      </c>
      <c r="AQ48" s="14">
        <f t="shared" si="48"/>
        <v>-720204124.28640723</v>
      </c>
      <c r="AR48" s="14">
        <f t="shared" si="49"/>
        <v>-656043642.9386946</v>
      </c>
      <c r="AS48" s="14">
        <f t="shared" si="50"/>
        <v>-595515102.34116137</v>
      </c>
      <c r="AT48" s="14">
        <f t="shared" si="51"/>
        <v>-539044817.80439973</v>
      </c>
      <c r="AU48" s="14">
        <f t="shared" si="52"/>
        <v>-486988403.95702648</v>
      </c>
      <c r="AV48" s="14">
        <f t="shared" si="53"/>
        <v>-439628045.79576647</v>
      </c>
      <c r="AW48" s="14">
        <f t="shared" si="54"/>
        <v>-397171784.53223461</v>
      </c>
      <c r="AX48" s="14">
        <f t="shared" si="55"/>
        <v>-359754618.35368752</v>
      </c>
      <c r="AY48" s="14">
        <f t="shared" si="56"/>
        <v>-327441147.71531981</v>
      </c>
      <c r="AZ48" s="14">
        <f t="shared" si="57"/>
        <v>-300229449.28156137</v>
      </c>
      <c r="BA48" s="14">
        <f t="shared" si="58"/>
        <v>-278055843.30787027</v>
      </c>
      <c r="BB48" s="14">
        <f t="shared" si="59"/>
        <v>-260800224.95993724</v>
      </c>
      <c r="BC48" s="14">
        <f t="shared" si="60"/>
        <v>-248291657.61529404</v>
      </c>
      <c r="BD48" s="14">
        <f t="shared" si="61"/>
        <v>-240313970.80023623</v>
      </c>
      <c r="BE48" s="14">
        <f t="shared" si="62"/>
        <v>-236611161.28193212</v>
      </c>
      <c r="BF48" s="14">
        <f t="shared" si="63"/>
        <v>-236892456.77736366</v>
      </c>
      <c r="BG48" s="14">
        <f t="shared" si="64"/>
        <v>-240836961.81576803</v>
      </c>
      <c r="BH48" s="14">
        <f t="shared" si="65"/>
        <v>-248097859.35651609</v>
      </c>
      <c r="BI48" s="14">
        <f t="shared" si="66"/>
        <v>-258306185.91013375</v>
      </c>
      <c r="BJ48" s="14">
        <f t="shared" si="22"/>
        <v>-271074229.73794639</v>
      </c>
      <c r="BK48" s="14">
        <f t="shared" si="23"/>
        <v>-285998620.43119431</v>
      </c>
      <c r="BL48" s="14">
        <f t="shared" si="24"/>
        <v>-302663184.55089325</v>
      </c>
      <c r="BM48" s="14">
        <f t="shared" si="25"/>
        <v>-320641638.11411625</v>
      </c>
      <c r="BN48" s="14">
        <f t="shared" si="26"/>
        <v>-339500175.56428277</v>
      </c>
      <c r="BO48" s="14">
        <f t="shared" si="27"/>
        <v>-358800000</v>
      </c>
      <c r="BQ48" s="21"/>
      <c r="BR48" s="1">
        <v>0</v>
      </c>
      <c r="BS48" s="14">
        <f t="shared" ref="BS48:CU48" si="113">$C$16/($C$17-$C$18*BR48)</f>
        <v>0.3415922014622258</v>
      </c>
      <c r="BT48" s="14">
        <f t="shared" si="113"/>
        <v>0.3867162803971414</v>
      </c>
      <c r="BU48" s="14">
        <f t="shared" si="113"/>
        <v>0.39358441341045353</v>
      </c>
      <c r="BV48" s="14">
        <f t="shared" si="113"/>
        <v>0.39465123071155611</v>
      </c>
      <c r="BW48" s="14">
        <f t="shared" si="113"/>
        <v>0.39481745705771337</v>
      </c>
      <c r="BX48" s="14">
        <f t="shared" si="113"/>
        <v>0.39484337025824801</v>
      </c>
      <c r="BY48" s="14">
        <f t="shared" si="113"/>
        <v>0.39484741020089792</v>
      </c>
      <c r="BZ48" s="14">
        <f t="shared" si="113"/>
        <v>0.39484804004704999</v>
      </c>
      <c r="CA48" s="14">
        <f t="shared" si="113"/>
        <v>0.39484813824322279</v>
      </c>
      <c r="CB48" s="14">
        <f t="shared" si="113"/>
        <v>0.39484815355250286</v>
      </c>
      <c r="CC48" s="14">
        <f t="shared" si="113"/>
        <v>0.39484815593929717</v>
      </c>
      <c r="CD48" s="14">
        <f t="shared" si="113"/>
        <v>0.39484815631141046</v>
      </c>
      <c r="CE48" s="14">
        <f t="shared" si="113"/>
        <v>0.39484815636942483</v>
      </c>
      <c r="CF48" s="14">
        <f t="shared" si="113"/>
        <v>0.39484815637846954</v>
      </c>
      <c r="CG48" s="14">
        <f t="shared" si="113"/>
        <v>0.39484815637987963</v>
      </c>
      <c r="CH48" s="14">
        <f t="shared" si="113"/>
        <v>0.39484815638009951</v>
      </c>
      <c r="CI48" s="14">
        <f t="shared" si="113"/>
        <v>0.39484815638013382</v>
      </c>
      <c r="CJ48" s="14">
        <f t="shared" si="113"/>
        <v>0.39484815638013915</v>
      </c>
      <c r="CK48" s="14">
        <f t="shared" si="113"/>
        <v>0.39484815638013998</v>
      </c>
      <c r="CL48" s="14">
        <f t="shared" si="113"/>
        <v>0.39484815638014015</v>
      </c>
      <c r="CM48" s="14">
        <f t="shared" si="113"/>
        <v>0.39484815638014015</v>
      </c>
      <c r="CN48" s="14">
        <f t="shared" si="113"/>
        <v>0.39484815638014015</v>
      </c>
      <c r="CO48" s="14">
        <f t="shared" si="113"/>
        <v>0.39484815638014015</v>
      </c>
      <c r="CP48" s="14">
        <f t="shared" si="113"/>
        <v>0.39484815638014015</v>
      </c>
      <c r="CQ48" s="14">
        <f t="shared" si="113"/>
        <v>0.39484815638014015</v>
      </c>
      <c r="CR48" s="14">
        <f t="shared" si="113"/>
        <v>0.39484815638014015</v>
      </c>
      <c r="CS48" s="14">
        <f t="shared" si="113"/>
        <v>0.39484815638014015</v>
      </c>
      <c r="CT48" s="14">
        <f t="shared" si="113"/>
        <v>0.39484815638014015</v>
      </c>
      <c r="CU48" s="14">
        <f t="shared" si="113"/>
        <v>0.39484815638014015</v>
      </c>
      <c r="CW48" s="23"/>
      <c r="CX48" s="1">
        <f t="shared" si="14"/>
        <v>300</v>
      </c>
      <c r="CY48" s="14">
        <f t="shared" si="15"/>
        <v>190.99660244288899</v>
      </c>
      <c r="CZ48" s="14">
        <f t="shared" si="106"/>
        <v>166.75399096606583</v>
      </c>
      <c r="DA48" s="14">
        <f t="shared" si="107"/>
        <v>152.86143350061803</v>
      </c>
      <c r="DB48" s="14">
        <f t="shared" si="108"/>
        <v>140.66339849143111</v>
      </c>
      <c r="DC48" s="14">
        <f t="shared" si="68"/>
        <v>129.03819047914067</v>
      </c>
      <c r="DD48" s="14">
        <f t="shared" si="69"/>
        <v>117.90807156369672</v>
      </c>
      <c r="DE48" s="14">
        <f t="shared" si="70"/>
        <v>107.33675338457097</v>
      </c>
      <c r="DF48" s="14">
        <f t="shared" si="71"/>
        <v>97.399229784158379</v>
      </c>
      <c r="DG48" s="14">
        <f t="shared" si="72"/>
        <v>88.162310442393249</v>
      </c>
      <c r="DH48" s="14">
        <f t="shared" si="73"/>
        <v>79.681304546148198</v>
      </c>
      <c r="DI48" s="14">
        <f t="shared" si="74"/>
        <v>71.999302704184046</v>
      </c>
      <c r="DJ48" s="14">
        <f t="shared" si="75"/>
        <v>65.147100303956634</v>
      </c>
      <c r="DK48" s="14">
        <f t="shared" si="76"/>
        <v>59.143450646374049</v>
      </c>
      <c r="DL48" s="14">
        <f t="shared" si="77"/>
        <v>53.995562183684001</v>
      </c>
      <c r="DM48" s="14">
        <f t="shared" si="78"/>
        <v>49.699781702291048</v>
      </c>
      <c r="DN48" s="14">
        <f t="shared" si="79"/>
        <v>46.242408254246051</v>
      </c>
      <c r="DO48" s="14">
        <f t="shared" si="80"/>
        <v>43.600585421490642</v>
      </c>
      <c r="DP48" s="14">
        <f t="shared" si="81"/>
        <v>41.743224978200402</v>
      </c>
      <c r="DQ48" s="14">
        <f t="shared" si="82"/>
        <v>40.631922859028101</v>
      </c>
      <c r="DR48" s="14">
        <f t="shared" si="83"/>
        <v>40.221837654286077</v>
      </c>
      <c r="DS48" s="14">
        <f t="shared" si="84"/>
        <v>40.462511661497999</v>
      </c>
      <c r="DT48" s="14">
        <f t="shared" si="85"/>
        <v>41.29862391367358</v>
      </c>
      <c r="DU48" s="14">
        <f t="shared" si="86"/>
        <v>42.670672818371216</v>
      </c>
      <c r="DV48" s="14">
        <f t="shared" si="87"/>
        <v>44.515592533278458</v>
      </c>
      <c r="DW48" s="14">
        <f t="shared" si="88"/>
        <v>46.767311678464687</v>
      </c>
      <c r="DX48" s="14">
        <f t="shared" si="89"/>
        <v>49.35726540339536</v>
      </c>
      <c r="DY48" s="14">
        <f t="shared" si="90"/>
        <v>52.214872383911043</v>
      </c>
      <c r="DZ48" s="14">
        <f t="shared" si="91"/>
        <v>55.267987406521421</v>
      </c>
      <c r="EA48" s="14">
        <f t="shared" si="92"/>
        <v>58.443338317957313</v>
      </c>
    </row>
    <row r="49" spans="5:131" x14ac:dyDescent="0.25">
      <c r="E49" s="19"/>
      <c r="F49" s="1">
        <v>300</v>
      </c>
      <c r="G49" s="6">
        <f t="shared" si="93"/>
        <v>279.60238189843898</v>
      </c>
      <c r="H49" s="6">
        <f t="shared" si="94"/>
        <v>259.39052202088476</v>
      </c>
      <c r="I49" s="6">
        <f t="shared" si="95"/>
        <v>239.5464989466829</v>
      </c>
      <c r="J49" s="6">
        <f t="shared" si="96"/>
        <v>220.2451684885815</v>
      </c>
      <c r="K49" s="6">
        <f t="shared" si="97"/>
        <v>201.6508851465241</v>
      </c>
      <c r="L49" s="6">
        <f t="shared" si="98"/>
        <v>183.91459994832275</v>
      </c>
      <c r="M49" s="6">
        <f t="shared" si="99"/>
        <v>167.17142380142872</v>
      </c>
      <c r="N49" s="6">
        <f t="shared" si="100"/>
        <v>151.53871817574776</v>
      </c>
      <c r="O49" s="6">
        <f t="shared" si="101"/>
        <v>137.11474516914944</v>
      </c>
      <c r="P49" s="6">
        <f t="shared" si="102"/>
        <v>123.97787905131753</v>
      </c>
      <c r="Q49" s="6">
        <f t="shared" si="103"/>
        <v>112.18635342884849</v>
      </c>
      <c r="R49" s="6">
        <f t="shared" si="104"/>
        <v>101.77849413799136</v>
      </c>
      <c r="S49" s="6">
        <f t="shared" si="29"/>
        <v>92.773369328193382</v>
      </c>
      <c r="T49" s="6">
        <f t="shared" si="30"/>
        <v>85.171775882257819</v>
      </c>
      <c r="U49" s="6">
        <f t="shared" si="31"/>
        <v>78.957475664875133</v>
      </c>
      <c r="V49" s="6">
        <f t="shared" si="32"/>
        <v>74.098595852212966</v>
      </c>
      <c r="W49" s="6">
        <f t="shared" si="33"/>
        <v>70.549114002070283</v>
      </c>
      <c r="X49" s="6">
        <f t="shared" si="34"/>
        <v>68.25035939799443</v>
      </c>
      <c r="Y49" s="6">
        <f t="shared" si="35"/>
        <v>67.132476096138433</v>
      </c>
      <c r="Z49" s="6">
        <f t="shared" si="36"/>
        <v>67.115808466880452</v>
      </c>
      <c r="AA49" s="6">
        <f t="shared" si="37"/>
        <v>68.112185350315272</v>
      </c>
      <c r="AB49" s="6">
        <f t="shared" si="38"/>
        <v>70.026092922154987</v>
      </c>
      <c r="AC49" s="6">
        <f t="shared" si="39"/>
        <v>72.755737982537312</v>
      </c>
      <c r="AD49" s="6">
        <f t="shared" si="40"/>
        <v>76.194011996859118</v>
      </c>
      <c r="AE49" s="6">
        <f t="shared" si="41"/>
        <v>80.229371599451639</v>
      </c>
      <c r="AF49" s="6">
        <f t="shared" si="42"/>
        <v>84.746653568698292</v>
      </c>
      <c r="AG49" s="6">
        <f t="shared" si="43"/>
        <v>89.627841977896395</v>
      </c>
      <c r="AH49" s="6">
        <f t="shared" si="11"/>
        <v>94.752803044535426</v>
      </c>
      <c r="AI49" s="1">
        <v>100</v>
      </c>
      <c r="AJ49" s="3"/>
      <c r="AK49" s="18"/>
      <c r="AL49" s="14">
        <f t="shared" si="12"/>
        <v>-1076400000</v>
      </c>
      <c r="AM49" s="14">
        <f t="shared" si="44"/>
        <v>-1002494721.9862063</v>
      </c>
      <c r="AN49" s="14">
        <f t="shared" si="45"/>
        <v>-929270179.55348611</v>
      </c>
      <c r="AO49" s="14">
        <f t="shared" si="46"/>
        <v>-857393377.56605196</v>
      </c>
      <c r="AP49" s="14">
        <f t="shared" si="47"/>
        <v>-787504382.06390285</v>
      </c>
      <c r="AQ49" s="14">
        <f t="shared" si="48"/>
        <v>-720204124.28640723</v>
      </c>
      <c r="AR49" s="14">
        <f t="shared" si="49"/>
        <v>-656043642.93869448</v>
      </c>
      <c r="AS49" s="14">
        <f t="shared" si="50"/>
        <v>-595515102.34116137</v>
      </c>
      <c r="AT49" s="14">
        <f t="shared" si="51"/>
        <v>-539044817.80439973</v>
      </c>
      <c r="AU49" s="14">
        <f t="shared" si="52"/>
        <v>-486988403.95702648</v>
      </c>
      <c r="AV49" s="14">
        <f t="shared" si="53"/>
        <v>-439628045.79576647</v>
      </c>
      <c r="AW49" s="14">
        <f t="shared" si="54"/>
        <v>-397171784.53223461</v>
      </c>
      <c r="AX49" s="14">
        <f t="shared" si="55"/>
        <v>-359754618.35368758</v>
      </c>
      <c r="AY49" s="14">
        <f t="shared" si="56"/>
        <v>-327441147.71531981</v>
      </c>
      <c r="AZ49" s="14">
        <f t="shared" si="57"/>
        <v>-300229449.28156137</v>
      </c>
      <c r="BA49" s="14">
        <f t="shared" si="58"/>
        <v>-278055843.30787027</v>
      </c>
      <c r="BB49" s="14">
        <f t="shared" si="59"/>
        <v>-260800224.95993724</v>
      </c>
      <c r="BC49" s="14">
        <f t="shared" si="60"/>
        <v>-248291657.61529404</v>
      </c>
      <c r="BD49" s="14">
        <f t="shared" si="61"/>
        <v>-240313970.80023623</v>
      </c>
      <c r="BE49" s="14">
        <f t="shared" si="62"/>
        <v>-236611161.28193212</v>
      </c>
      <c r="BF49" s="14">
        <f t="shared" si="63"/>
        <v>-236892456.77736366</v>
      </c>
      <c r="BG49" s="14">
        <f t="shared" si="64"/>
        <v>-240836961.81576803</v>
      </c>
      <c r="BH49" s="14">
        <f t="shared" si="65"/>
        <v>-248097859.35651615</v>
      </c>
      <c r="BI49" s="14">
        <f t="shared" si="66"/>
        <v>-258306185.91013375</v>
      </c>
      <c r="BJ49" s="14">
        <f t="shared" si="22"/>
        <v>-271074229.73794639</v>
      </c>
      <c r="BK49" s="14">
        <f t="shared" si="23"/>
        <v>-285998620.43119431</v>
      </c>
      <c r="BL49" s="14">
        <f t="shared" si="24"/>
        <v>-302663184.55089325</v>
      </c>
      <c r="BM49" s="14">
        <f t="shared" si="25"/>
        <v>-320641638.11411625</v>
      </c>
      <c r="BN49" s="14">
        <f t="shared" si="26"/>
        <v>-339500175.56428277</v>
      </c>
      <c r="BO49" s="14">
        <f t="shared" si="27"/>
        <v>-358800000</v>
      </c>
      <c r="BQ49" s="21"/>
      <c r="BR49" s="1">
        <v>0</v>
      </c>
      <c r="BS49" s="14">
        <f t="shared" ref="BS49:CU49" si="114">$C$16/($C$17-$C$18*BR49)</f>
        <v>0.3415922014622258</v>
      </c>
      <c r="BT49" s="14">
        <f t="shared" si="114"/>
        <v>0.3867162803971414</v>
      </c>
      <c r="BU49" s="14">
        <f t="shared" si="114"/>
        <v>0.39358441341045353</v>
      </c>
      <c r="BV49" s="14">
        <f t="shared" si="114"/>
        <v>0.39465123071155611</v>
      </c>
      <c r="BW49" s="14">
        <f t="shared" si="114"/>
        <v>0.39481745705771337</v>
      </c>
      <c r="BX49" s="14">
        <f t="shared" si="114"/>
        <v>0.39484337025824801</v>
      </c>
      <c r="BY49" s="14">
        <f t="shared" si="114"/>
        <v>0.39484741020089792</v>
      </c>
      <c r="BZ49" s="14">
        <f t="shared" si="114"/>
        <v>0.39484804004704999</v>
      </c>
      <c r="CA49" s="14">
        <f t="shared" si="114"/>
        <v>0.39484813824322279</v>
      </c>
      <c r="CB49" s="14">
        <f t="shared" si="114"/>
        <v>0.39484815355250286</v>
      </c>
      <c r="CC49" s="14">
        <f t="shared" si="114"/>
        <v>0.39484815593929717</v>
      </c>
      <c r="CD49" s="14">
        <f t="shared" si="114"/>
        <v>0.39484815631141046</v>
      </c>
      <c r="CE49" s="14">
        <f t="shared" si="114"/>
        <v>0.39484815636942483</v>
      </c>
      <c r="CF49" s="14">
        <f t="shared" si="114"/>
        <v>0.39484815637846954</v>
      </c>
      <c r="CG49" s="14">
        <f t="shared" si="114"/>
        <v>0.39484815637987963</v>
      </c>
      <c r="CH49" s="14">
        <f t="shared" si="114"/>
        <v>0.39484815638009951</v>
      </c>
      <c r="CI49" s="14">
        <f t="shared" si="114"/>
        <v>0.39484815638013382</v>
      </c>
      <c r="CJ49" s="14">
        <f t="shared" si="114"/>
        <v>0.39484815638013915</v>
      </c>
      <c r="CK49" s="14">
        <f t="shared" si="114"/>
        <v>0.39484815638013998</v>
      </c>
      <c r="CL49" s="14">
        <f t="shared" si="114"/>
        <v>0.39484815638014015</v>
      </c>
      <c r="CM49" s="14">
        <f t="shared" si="114"/>
        <v>0.39484815638014015</v>
      </c>
      <c r="CN49" s="14">
        <f t="shared" si="114"/>
        <v>0.39484815638014015</v>
      </c>
      <c r="CO49" s="14">
        <f t="shared" si="114"/>
        <v>0.39484815638014015</v>
      </c>
      <c r="CP49" s="14">
        <f t="shared" si="114"/>
        <v>0.39484815638014015</v>
      </c>
      <c r="CQ49" s="14">
        <f t="shared" si="114"/>
        <v>0.39484815638014015</v>
      </c>
      <c r="CR49" s="14">
        <f t="shared" si="114"/>
        <v>0.39484815638014015</v>
      </c>
      <c r="CS49" s="14">
        <f t="shared" si="114"/>
        <v>0.39484815638014015</v>
      </c>
      <c r="CT49" s="14">
        <f t="shared" si="114"/>
        <v>0.39484815638014015</v>
      </c>
      <c r="CU49" s="14">
        <f t="shared" si="114"/>
        <v>0.39484815638014015</v>
      </c>
      <c r="CW49" s="23"/>
      <c r="CX49" s="1">
        <f t="shared" si="14"/>
        <v>300</v>
      </c>
      <c r="CY49" s="14">
        <f t="shared" si="15"/>
        <v>190.99660244288899</v>
      </c>
      <c r="CZ49" s="14">
        <f t="shared" si="106"/>
        <v>166.75399096606583</v>
      </c>
      <c r="DA49" s="14">
        <f t="shared" si="107"/>
        <v>152.86143350061803</v>
      </c>
      <c r="DB49" s="14">
        <f t="shared" si="108"/>
        <v>140.66339849143111</v>
      </c>
      <c r="DC49" s="14">
        <f t="shared" si="68"/>
        <v>129.03819047914067</v>
      </c>
      <c r="DD49" s="14">
        <f t="shared" si="69"/>
        <v>117.90807156369672</v>
      </c>
      <c r="DE49" s="14">
        <f t="shared" si="70"/>
        <v>107.33675338457097</v>
      </c>
      <c r="DF49" s="14">
        <f t="shared" si="71"/>
        <v>97.399229784158379</v>
      </c>
      <c r="DG49" s="14">
        <f t="shared" si="72"/>
        <v>88.162310442393249</v>
      </c>
      <c r="DH49" s="14">
        <f t="shared" si="73"/>
        <v>79.681304546148198</v>
      </c>
      <c r="DI49" s="14">
        <f t="shared" si="74"/>
        <v>71.999302704184046</v>
      </c>
      <c r="DJ49" s="14">
        <f t="shared" si="75"/>
        <v>65.147100303956648</v>
      </c>
      <c r="DK49" s="14">
        <f t="shared" si="76"/>
        <v>59.143450646374049</v>
      </c>
      <c r="DL49" s="14">
        <f t="shared" si="77"/>
        <v>53.995562183684001</v>
      </c>
      <c r="DM49" s="14">
        <f t="shared" si="78"/>
        <v>49.699781702291048</v>
      </c>
      <c r="DN49" s="14">
        <f t="shared" si="79"/>
        <v>46.242408254246051</v>
      </c>
      <c r="DO49" s="14">
        <f t="shared" si="80"/>
        <v>43.600585421490642</v>
      </c>
      <c r="DP49" s="14">
        <f t="shared" si="81"/>
        <v>41.743224978200402</v>
      </c>
      <c r="DQ49" s="14">
        <f t="shared" si="82"/>
        <v>40.631922859028101</v>
      </c>
      <c r="DR49" s="14">
        <f t="shared" si="83"/>
        <v>40.221837654286077</v>
      </c>
      <c r="DS49" s="14">
        <f t="shared" si="84"/>
        <v>40.462511661497999</v>
      </c>
      <c r="DT49" s="14">
        <f t="shared" si="85"/>
        <v>41.298623913673595</v>
      </c>
      <c r="DU49" s="14">
        <f t="shared" si="86"/>
        <v>42.670672818371216</v>
      </c>
      <c r="DV49" s="14">
        <f t="shared" si="87"/>
        <v>44.515592533278458</v>
      </c>
      <c r="DW49" s="14">
        <f t="shared" si="88"/>
        <v>46.767311678464687</v>
      </c>
      <c r="DX49" s="14">
        <f t="shared" si="89"/>
        <v>49.35726540339536</v>
      </c>
      <c r="DY49" s="14">
        <f t="shared" si="90"/>
        <v>52.214872383911043</v>
      </c>
      <c r="DZ49" s="14">
        <f t="shared" si="91"/>
        <v>55.267987406521421</v>
      </c>
      <c r="EA49" s="14">
        <f t="shared" si="92"/>
        <v>58.443338317957313</v>
      </c>
    </row>
    <row r="50" spans="5:131" x14ac:dyDescent="0.25">
      <c r="E50" s="19"/>
      <c r="F50" s="1">
        <v>300</v>
      </c>
      <c r="G50" s="6">
        <f t="shared" si="93"/>
        <v>279.60238189843898</v>
      </c>
      <c r="H50" s="6">
        <f t="shared" si="94"/>
        <v>259.39052202088476</v>
      </c>
      <c r="I50" s="6">
        <f t="shared" si="95"/>
        <v>239.54649894668285</v>
      </c>
      <c r="J50" s="6">
        <f t="shared" si="96"/>
        <v>220.2451684885815</v>
      </c>
      <c r="K50" s="6">
        <f t="shared" si="97"/>
        <v>201.6508851465241</v>
      </c>
      <c r="L50" s="6">
        <f t="shared" si="98"/>
        <v>183.91459994832275</v>
      </c>
      <c r="M50" s="6">
        <f t="shared" si="99"/>
        <v>167.17142380142872</v>
      </c>
      <c r="N50" s="6">
        <f t="shared" si="100"/>
        <v>151.53871817574776</v>
      </c>
      <c r="O50" s="6">
        <f t="shared" si="101"/>
        <v>137.11474516914944</v>
      </c>
      <c r="P50" s="6">
        <f t="shared" si="102"/>
        <v>123.97787905131753</v>
      </c>
      <c r="Q50" s="6">
        <f t="shared" si="103"/>
        <v>112.18635342884849</v>
      </c>
      <c r="R50" s="6">
        <f t="shared" si="104"/>
        <v>101.77849413799134</v>
      </c>
      <c r="S50" s="6">
        <f t="shared" si="29"/>
        <v>92.773369328193382</v>
      </c>
      <c r="T50" s="6">
        <f t="shared" si="30"/>
        <v>85.171775882257805</v>
      </c>
      <c r="U50" s="6">
        <f t="shared" si="31"/>
        <v>78.957475664875119</v>
      </c>
      <c r="V50" s="6">
        <f t="shared" si="32"/>
        <v>74.098595852212952</v>
      </c>
      <c r="W50" s="6">
        <f t="shared" si="33"/>
        <v>70.549114002070283</v>
      </c>
      <c r="X50" s="6">
        <f t="shared" si="34"/>
        <v>68.25035939799443</v>
      </c>
      <c r="Y50" s="6">
        <f t="shared" si="35"/>
        <v>67.132476096138433</v>
      </c>
      <c r="Z50" s="6">
        <f t="shared" si="36"/>
        <v>67.115808466880452</v>
      </c>
      <c r="AA50" s="6">
        <f t="shared" si="37"/>
        <v>68.112185350315272</v>
      </c>
      <c r="AB50" s="6">
        <f t="shared" si="38"/>
        <v>70.026092922154987</v>
      </c>
      <c r="AC50" s="6">
        <f t="shared" si="39"/>
        <v>72.755737982537312</v>
      </c>
      <c r="AD50" s="6">
        <f t="shared" si="40"/>
        <v>76.194011996859103</v>
      </c>
      <c r="AE50" s="6">
        <f t="shared" si="41"/>
        <v>80.229371599451611</v>
      </c>
      <c r="AF50" s="6">
        <f t="shared" si="42"/>
        <v>84.746653568698264</v>
      </c>
      <c r="AG50" s="6">
        <f t="shared" si="43"/>
        <v>89.627841977896367</v>
      </c>
      <c r="AH50" s="6">
        <f t="shared" si="11"/>
        <v>94.752803044535426</v>
      </c>
      <c r="AI50" s="1">
        <v>100</v>
      </c>
      <c r="AJ50" s="3"/>
      <c r="AK50" s="18"/>
      <c r="AL50" s="14">
        <f t="shared" si="12"/>
        <v>-1076400000</v>
      </c>
      <c r="AM50" s="14">
        <f t="shared" si="44"/>
        <v>-1002494721.9862061</v>
      </c>
      <c r="AN50" s="14">
        <f t="shared" si="45"/>
        <v>-929270179.55348575</v>
      </c>
      <c r="AO50" s="14">
        <f t="shared" si="46"/>
        <v>-857393377.56605184</v>
      </c>
      <c r="AP50" s="14">
        <f t="shared" si="47"/>
        <v>-787504382.06390262</v>
      </c>
      <c r="AQ50" s="14">
        <f t="shared" si="48"/>
        <v>-720204124.28640711</v>
      </c>
      <c r="AR50" s="14">
        <f t="shared" si="49"/>
        <v>-656043642.93869436</v>
      </c>
      <c r="AS50" s="14">
        <f t="shared" si="50"/>
        <v>-595515102.34116137</v>
      </c>
      <c r="AT50" s="14">
        <f t="shared" si="51"/>
        <v>-539044817.80439961</v>
      </c>
      <c r="AU50" s="14">
        <f t="shared" si="52"/>
        <v>-486988403.95702642</v>
      </c>
      <c r="AV50" s="14">
        <f t="shared" si="53"/>
        <v>-439628045.79576647</v>
      </c>
      <c r="AW50" s="14">
        <f t="shared" si="54"/>
        <v>-397171784.53223461</v>
      </c>
      <c r="AX50" s="14">
        <f t="shared" si="55"/>
        <v>-359754618.35368752</v>
      </c>
      <c r="AY50" s="14">
        <f t="shared" si="56"/>
        <v>-327441147.71531975</v>
      </c>
      <c r="AZ50" s="14">
        <f t="shared" si="57"/>
        <v>-300229449.28156137</v>
      </c>
      <c r="BA50" s="14">
        <f t="shared" si="58"/>
        <v>-278055843.30787027</v>
      </c>
      <c r="BB50" s="14">
        <f t="shared" si="59"/>
        <v>-260800224.95993719</v>
      </c>
      <c r="BC50" s="14">
        <f t="shared" si="60"/>
        <v>-248291657.61529404</v>
      </c>
      <c r="BD50" s="14">
        <f t="shared" si="61"/>
        <v>-240313970.80023623</v>
      </c>
      <c r="BE50" s="14">
        <f t="shared" si="62"/>
        <v>-236611161.28193212</v>
      </c>
      <c r="BF50" s="14">
        <f t="shared" si="63"/>
        <v>-236892456.77736366</v>
      </c>
      <c r="BG50" s="14">
        <f t="shared" si="64"/>
        <v>-240836961.81576803</v>
      </c>
      <c r="BH50" s="14">
        <f t="shared" si="65"/>
        <v>-248097859.35651615</v>
      </c>
      <c r="BI50" s="14">
        <f t="shared" si="66"/>
        <v>-258306185.91013375</v>
      </c>
      <c r="BJ50" s="14">
        <f t="shared" si="22"/>
        <v>-271074229.73794639</v>
      </c>
      <c r="BK50" s="14">
        <f t="shared" si="23"/>
        <v>-285998620.43119431</v>
      </c>
      <c r="BL50" s="14">
        <f t="shared" si="24"/>
        <v>-302663184.55089319</v>
      </c>
      <c r="BM50" s="14">
        <f t="shared" si="25"/>
        <v>-320641638.11411619</v>
      </c>
      <c r="BN50" s="14">
        <f t="shared" si="26"/>
        <v>-339500175.56428277</v>
      </c>
      <c r="BO50" s="14">
        <f t="shared" si="27"/>
        <v>-358800000</v>
      </c>
      <c r="BQ50" s="21"/>
      <c r="BR50" s="1">
        <v>0</v>
      </c>
      <c r="BS50" s="14">
        <f t="shared" ref="BS50:CU50" si="115">$C$16/($C$17-$C$18*BR50)</f>
        <v>0.3415922014622258</v>
      </c>
      <c r="BT50" s="14">
        <f t="shared" si="115"/>
        <v>0.3867162803971414</v>
      </c>
      <c r="BU50" s="14">
        <f t="shared" si="115"/>
        <v>0.39358441341045353</v>
      </c>
      <c r="BV50" s="14">
        <f t="shared" si="115"/>
        <v>0.39465123071155611</v>
      </c>
      <c r="BW50" s="14">
        <f t="shared" si="115"/>
        <v>0.39481745705771337</v>
      </c>
      <c r="BX50" s="14">
        <f t="shared" si="115"/>
        <v>0.39484337025824801</v>
      </c>
      <c r="BY50" s="14">
        <f t="shared" si="115"/>
        <v>0.39484741020089792</v>
      </c>
      <c r="BZ50" s="14">
        <f t="shared" si="115"/>
        <v>0.39484804004704999</v>
      </c>
      <c r="CA50" s="14">
        <f t="shared" si="115"/>
        <v>0.39484813824322279</v>
      </c>
      <c r="CB50" s="14">
        <f t="shared" si="115"/>
        <v>0.39484815355250286</v>
      </c>
      <c r="CC50" s="14">
        <f t="shared" si="115"/>
        <v>0.39484815593929717</v>
      </c>
      <c r="CD50" s="14">
        <f t="shared" si="115"/>
        <v>0.39484815631141046</v>
      </c>
      <c r="CE50" s="14">
        <f t="shared" si="115"/>
        <v>0.39484815636942483</v>
      </c>
      <c r="CF50" s="14">
        <f t="shared" si="115"/>
        <v>0.39484815637846954</v>
      </c>
      <c r="CG50" s="14">
        <f t="shared" si="115"/>
        <v>0.39484815637987963</v>
      </c>
      <c r="CH50" s="14">
        <f t="shared" si="115"/>
        <v>0.39484815638009951</v>
      </c>
      <c r="CI50" s="14">
        <f t="shared" si="115"/>
        <v>0.39484815638013382</v>
      </c>
      <c r="CJ50" s="14">
        <f t="shared" si="115"/>
        <v>0.39484815638013915</v>
      </c>
      <c r="CK50" s="14">
        <f t="shared" si="115"/>
        <v>0.39484815638013998</v>
      </c>
      <c r="CL50" s="14">
        <f t="shared" si="115"/>
        <v>0.39484815638014015</v>
      </c>
      <c r="CM50" s="14">
        <f t="shared" si="115"/>
        <v>0.39484815638014015</v>
      </c>
      <c r="CN50" s="14">
        <f t="shared" si="115"/>
        <v>0.39484815638014015</v>
      </c>
      <c r="CO50" s="14">
        <f t="shared" si="115"/>
        <v>0.39484815638014015</v>
      </c>
      <c r="CP50" s="14">
        <f t="shared" si="115"/>
        <v>0.39484815638014015</v>
      </c>
      <c r="CQ50" s="14">
        <f t="shared" si="115"/>
        <v>0.39484815638014015</v>
      </c>
      <c r="CR50" s="14">
        <f t="shared" si="115"/>
        <v>0.39484815638014015</v>
      </c>
      <c r="CS50" s="14">
        <f t="shared" si="115"/>
        <v>0.39484815638014015</v>
      </c>
      <c r="CT50" s="14">
        <f t="shared" si="115"/>
        <v>0.39484815638014015</v>
      </c>
      <c r="CU50" s="14">
        <f t="shared" si="115"/>
        <v>0.39484815638014015</v>
      </c>
      <c r="CW50" s="23"/>
      <c r="CX50" s="1">
        <f t="shared" si="14"/>
        <v>300</v>
      </c>
      <c r="CY50" s="14">
        <f t="shared" si="15"/>
        <v>190.99660244288899</v>
      </c>
      <c r="CZ50" s="14">
        <f t="shared" si="106"/>
        <v>166.7539909660658</v>
      </c>
      <c r="DA50" s="14">
        <f t="shared" si="107"/>
        <v>152.86143350061801</v>
      </c>
      <c r="DB50" s="14">
        <f t="shared" si="108"/>
        <v>140.66339849143111</v>
      </c>
      <c r="DC50" s="14">
        <f t="shared" si="68"/>
        <v>129.03819047914067</v>
      </c>
      <c r="DD50" s="14">
        <f t="shared" si="69"/>
        <v>117.90807156369672</v>
      </c>
      <c r="DE50" s="14">
        <f t="shared" si="70"/>
        <v>107.33675338457097</v>
      </c>
      <c r="DF50" s="14">
        <f t="shared" si="71"/>
        <v>97.399229784158379</v>
      </c>
      <c r="DG50" s="14">
        <f t="shared" si="72"/>
        <v>88.162310442393249</v>
      </c>
      <c r="DH50" s="14">
        <f t="shared" si="73"/>
        <v>79.681304546148198</v>
      </c>
      <c r="DI50" s="14">
        <f t="shared" si="74"/>
        <v>71.999302704184046</v>
      </c>
      <c r="DJ50" s="14">
        <f t="shared" si="75"/>
        <v>65.147100303956634</v>
      </c>
      <c r="DK50" s="14">
        <f t="shared" si="76"/>
        <v>59.143450646374042</v>
      </c>
      <c r="DL50" s="14">
        <f t="shared" si="77"/>
        <v>53.995562183683994</v>
      </c>
      <c r="DM50" s="14">
        <f t="shared" si="78"/>
        <v>49.699781702291041</v>
      </c>
      <c r="DN50" s="14">
        <f t="shared" si="79"/>
        <v>46.242408254246044</v>
      </c>
      <c r="DO50" s="14">
        <f t="shared" si="80"/>
        <v>43.600585421490642</v>
      </c>
      <c r="DP50" s="14">
        <f t="shared" si="81"/>
        <v>41.743224978200402</v>
      </c>
      <c r="DQ50" s="14">
        <f t="shared" si="82"/>
        <v>40.631922859028101</v>
      </c>
      <c r="DR50" s="14">
        <f t="shared" si="83"/>
        <v>40.221837654286077</v>
      </c>
      <c r="DS50" s="14">
        <f t="shared" si="84"/>
        <v>40.462511661497999</v>
      </c>
      <c r="DT50" s="14">
        <f t="shared" si="85"/>
        <v>41.298623913673595</v>
      </c>
      <c r="DU50" s="14">
        <f t="shared" si="86"/>
        <v>42.670672818371216</v>
      </c>
      <c r="DV50" s="14">
        <f t="shared" si="87"/>
        <v>44.515592533278458</v>
      </c>
      <c r="DW50" s="14">
        <f t="shared" si="88"/>
        <v>46.767311678464687</v>
      </c>
      <c r="DX50" s="14">
        <f t="shared" si="89"/>
        <v>49.357265403395353</v>
      </c>
      <c r="DY50" s="14">
        <f t="shared" si="90"/>
        <v>52.214872383911029</v>
      </c>
      <c r="DZ50" s="14">
        <f t="shared" si="91"/>
        <v>55.267987406521421</v>
      </c>
      <c r="EA50" s="14">
        <f t="shared" si="92"/>
        <v>58.443338317957313</v>
      </c>
    </row>
    <row r="51" spans="5:131" x14ac:dyDescent="0.25">
      <c r="E51" s="19"/>
      <c r="F51" s="1">
        <v>300</v>
      </c>
      <c r="G51" s="6">
        <f t="shared" si="93"/>
        <v>279.60238189843898</v>
      </c>
      <c r="H51" s="6">
        <f t="shared" si="94"/>
        <v>259.39052202088476</v>
      </c>
      <c r="I51" s="6">
        <f t="shared" si="95"/>
        <v>239.54649894668285</v>
      </c>
      <c r="J51" s="6">
        <f t="shared" si="96"/>
        <v>220.2451684885815</v>
      </c>
      <c r="K51" s="6">
        <f t="shared" si="97"/>
        <v>201.6508851465241</v>
      </c>
      <c r="L51" s="6">
        <f t="shared" si="98"/>
        <v>183.91459994832275</v>
      </c>
      <c r="M51" s="6">
        <f t="shared" si="99"/>
        <v>167.17142380142872</v>
      </c>
      <c r="N51" s="6">
        <f t="shared" si="100"/>
        <v>151.53871817574776</v>
      </c>
      <c r="O51" s="6">
        <f t="shared" si="101"/>
        <v>137.11474516914944</v>
      </c>
      <c r="P51" s="6">
        <f t="shared" si="102"/>
        <v>123.97787905131753</v>
      </c>
      <c r="Q51" s="6">
        <f t="shared" si="103"/>
        <v>112.18635342884849</v>
      </c>
      <c r="R51" s="6">
        <f t="shared" si="104"/>
        <v>101.77849413799134</v>
      </c>
      <c r="S51" s="6">
        <f t="shared" si="29"/>
        <v>92.773369328193382</v>
      </c>
      <c r="T51" s="6">
        <f t="shared" si="30"/>
        <v>85.171775882257805</v>
      </c>
      <c r="U51" s="6">
        <f t="shared" si="31"/>
        <v>78.957475664875119</v>
      </c>
      <c r="V51" s="6">
        <f t="shared" si="32"/>
        <v>74.098595852212952</v>
      </c>
      <c r="W51" s="6">
        <f t="shared" si="33"/>
        <v>70.549114002070283</v>
      </c>
      <c r="X51" s="6">
        <f t="shared" si="34"/>
        <v>68.25035939799443</v>
      </c>
      <c r="Y51" s="6">
        <f t="shared" si="35"/>
        <v>67.132476096138433</v>
      </c>
      <c r="Z51" s="6">
        <f t="shared" si="36"/>
        <v>67.115808466880452</v>
      </c>
      <c r="AA51" s="6">
        <f t="shared" si="37"/>
        <v>68.112185350315272</v>
      </c>
      <c r="AB51" s="6">
        <f t="shared" si="38"/>
        <v>70.026092922154987</v>
      </c>
      <c r="AC51" s="6">
        <f t="shared" si="39"/>
        <v>72.755737982537312</v>
      </c>
      <c r="AD51" s="6">
        <f t="shared" si="40"/>
        <v>76.194011996859103</v>
      </c>
      <c r="AE51" s="6">
        <f t="shared" si="41"/>
        <v>80.229371599451611</v>
      </c>
      <c r="AF51" s="6">
        <f t="shared" si="42"/>
        <v>84.746653568698264</v>
      </c>
      <c r="AG51" s="6">
        <f t="shared" si="43"/>
        <v>89.627841977896367</v>
      </c>
      <c r="AH51" s="6">
        <f t="shared" si="11"/>
        <v>94.752803044535426</v>
      </c>
      <c r="AI51" s="1">
        <v>100</v>
      </c>
      <c r="AJ51" s="3"/>
      <c r="AK51" s="18"/>
      <c r="AL51" s="14">
        <f t="shared" si="12"/>
        <v>-1076400000</v>
      </c>
      <c r="AM51" s="14">
        <f t="shared" si="44"/>
        <v>-1002494721.9862061</v>
      </c>
      <c r="AN51" s="14">
        <f t="shared" si="45"/>
        <v>-929270179.55348575</v>
      </c>
      <c r="AO51" s="14">
        <f t="shared" si="46"/>
        <v>-857393377.56605184</v>
      </c>
      <c r="AP51" s="14">
        <f t="shared" si="47"/>
        <v>-787504382.06390262</v>
      </c>
      <c r="AQ51" s="14">
        <f t="shared" si="48"/>
        <v>-720204124.28640711</v>
      </c>
      <c r="AR51" s="14">
        <f t="shared" si="49"/>
        <v>-656043642.93869436</v>
      </c>
      <c r="AS51" s="14">
        <f t="shared" si="50"/>
        <v>-595515102.34116137</v>
      </c>
      <c r="AT51" s="14">
        <f t="shared" si="51"/>
        <v>-539044817.80439961</v>
      </c>
      <c r="AU51" s="14">
        <f t="shared" si="52"/>
        <v>-486988403.95702642</v>
      </c>
      <c r="AV51" s="14">
        <f t="shared" si="53"/>
        <v>-439628045.79576647</v>
      </c>
      <c r="AW51" s="14">
        <f t="shared" si="54"/>
        <v>-397171784.53223461</v>
      </c>
      <c r="AX51" s="14">
        <f t="shared" si="55"/>
        <v>-359754618.35368752</v>
      </c>
      <c r="AY51" s="14">
        <f t="shared" si="56"/>
        <v>-327441147.71531975</v>
      </c>
      <c r="AZ51" s="14">
        <f t="shared" si="57"/>
        <v>-300229449.28156137</v>
      </c>
      <c r="BA51" s="14">
        <f t="shared" si="58"/>
        <v>-278055843.30787027</v>
      </c>
      <c r="BB51" s="14">
        <f t="shared" si="59"/>
        <v>-260800224.95993719</v>
      </c>
      <c r="BC51" s="14">
        <f t="shared" si="60"/>
        <v>-248291657.61529404</v>
      </c>
      <c r="BD51" s="14">
        <f t="shared" si="61"/>
        <v>-240313970.80023623</v>
      </c>
      <c r="BE51" s="14">
        <f t="shared" si="62"/>
        <v>-236611161.28193212</v>
      </c>
      <c r="BF51" s="14">
        <f t="shared" si="63"/>
        <v>-236892456.77736366</v>
      </c>
      <c r="BG51" s="14">
        <f t="shared" si="64"/>
        <v>-240836961.815768</v>
      </c>
      <c r="BH51" s="14">
        <f t="shared" si="65"/>
        <v>-248097859.35651615</v>
      </c>
      <c r="BI51" s="14">
        <f t="shared" si="66"/>
        <v>-258306185.91013375</v>
      </c>
      <c r="BJ51" s="14">
        <f t="shared" si="22"/>
        <v>-271074229.73794633</v>
      </c>
      <c r="BK51" s="14">
        <f t="shared" si="23"/>
        <v>-285998620.43119431</v>
      </c>
      <c r="BL51" s="14">
        <f t="shared" si="24"/>
        <v>-302663184.55089319</v>
      </c>
      <c r="BM51" s="14">
        <f t="shared" si="25"/>
        <v>-320641638.11411619</v>
      </c>
      <c r="BN51" s="14">
        <f t="shared" si="26"/>
        <v>-339500175.56428277</v>
      </c>
      <c r="BO51" s="14">
        <f t="shared" si="27"/>
        <v>-358800000</v>
      </c>
      <c r="BQ51" s="21"/>
      <c r="BR51" s="1">
        <v>0</v>
      </c>
      <c r="BS51" s="14">
        <f t="shared" ref="BS51:CU51" si="116">$C$16/($C$17-$C$18*BR51)</f>
        <v>0.3415922014622258</v>
      </c>
      <c r="BT51" s="14">
        <f t="shared" si="116"/>
        <v>0.3867162803971414</v>
      </c>
      <c r="BU51" s="14">
        <f t="shared" si="116"/>
        <v>0.39358441341045353</v>
      </c>
      <c r="BV51" s="14">
        <f t="shared" si="116"/>
        <v>0.39465123071155611</v>
      </c>
      <c r="BW51" s="14">
        <f t="shared" si="116"/>
        <v>0.39481745705771337</v>
      </c>
      <c r="BX51" s="14">
        <f t="shared" si="116"/>
        <v>0.39484337025824801</v>
      </c>
      <c r="BY51" s="14">
        <f t="shared" si="116"/>
        <v>0.39484741020089792</v>
      </c>
      <c r="BZ51" s="14">
        <f t="shared" si="116"/>
        <v>0.39484804004704999</v>
      </c>
      <c r="CA51" s="14">
        <f t="shared" si="116"/>
        <v>0.39484813824322279</v>
      </c>
      <c r="CB51" s="14">
        <f t="shared" si="116"/>
        <v>0.39484815355250286</v>
      </c>
      <c r="CC51" s="14">
        <f t="shared" si="116"/>
        <v>0.39484815593929717</v>
      </c>
      <c r="CD51" s="14">
        <f t="shared" si="116"/>
        <v>0.39484815631141046</v>
      </c>
      <c r="CE51" s="14">
        <f t="shared" si="116"/>
        <v>0.39484815636942483</v>
      </c>
      <c r="CF51" s="14">
        <f t="shared" si="116"/>
        <v>0.39484815637846954</v>
      </c>
      <c r="CG51" s="14">
        <f t="shared" si="116"/>
        <v>0.39484815637987963</v>
      </c>
      <c r="CH51" s="14">
        <f t="shared" si="116"/>
        <v>0.39484815638009951</v>
      </c>
      <c r="CI51" s="14">
        <f t="shared" si="116"/>
        <v>0.39484815638013382</v>
      </c>
      <c r="CJ51" s="14">
        <f t="shared" si="116"/>
        <v>0.39484815638013915</v>
      </c>
      <c r="CK51" s="14">
        <f t="shared" si="116"/>
        <v>0.39484815638013998</v>
      </c>
      <c r="CL51" s="14">
        <f t="shared" si="116"/>
        <v>0.39484815638014015</v>
      </c>
      <c r="CM51" s="14">
        <f t="shared" si="116"/>
        <v>0.39484815638014015</v>
      </c>
      <c r="CN51" s="14">
        <f t="shared" si="116"/>
        <v>0.39484815638014015</v>
      </c>
      <c r="CO51" s="14">
        <f t="shared" si="116"/>
        <v>0.39484815638014015</v>
      </c>
      <c r="CP51" s="14">
        <f t="shared" si="116"/>
        <v>0.39484815638014015</v>
      </c>
      <c r="CQ51" s="14">
        <f t="shared" si="116"/>
        <v>0.39484815638014015</v>
      </c>
      <c r="CR51" s="14">
        <f t="shared" si="116"/>
        <v>0.39484815638014015</v>
      </c>
      <c r="CS51" s="14">
        <f t="shared" si="116"/>
        <v>0.39484815638014015</v>
      </c>
      <c r="CT51" s="14">
        <f t="shared" si="116"/>
        <v>0.39484815638014015</v>
      </c>
      <c r="CU51" s="14">
        <f t="shared" si="116"/>
        <v>0.39484815638014015</v>
      </c>
      <c r="CW51" s="23"/>
      <c r="CX51" s="1">
        <f t="shared" si="14"/>
        <v>300</v>
      </c>
      <c r="CY51" s="14">
        <f t="shared" si="15"/>
        <v>190.99660244288899</v>
      </c>
      <c r="CZ51" s="14">
        <f t="shared" si="106"/>
        <v>166.7539909660658</v>
      </c>
      <c r="DA51" s="14">
        <f t="shared" si="107"/>
        <v>152.86143350061801</v>
      </c>
      <c r="DB51" s="14">
        <f t="shared" si="108"/>
        <v>140.66339849143111</v>
      </c>
      <c r="DC51" s="14">
        <f t="shared" si="68"/>
        <v>129.03819047914067</v>
      </c>
      <c r="DD51" s="14">
        <f t="shared" si="69"/>
        <v>117.90807156369672</v>
      </c>
      <c r="DE51" s="14">
        <f t="shared" si="70"/>
        <v>107.33675338457097</v>
      </c>
      <c r="DF51" s="14">
        <f t="shared" si="71"/>
        <v>97.399229784158379</v>
      </c>
      <c r="DG51" s="14">
        <f t="shared" si="72"/>
        <v>88.162310442393249</v>
      </c>
      <c r="DH51" s="14">
        <f t="shared" si="73"/>
        <v>79.681304546148198</v>
      </c>
      <c r="DI51" s="14">
        <f t="shared" si="74"/>
        <v>71.999302704184046</v>
      </c>
      <c r="DJ51" s="14">
        <f t="shared" si="75"/>
        <v>65.147100303956634</v>
      </c>
      <c r="DK51" s="14">
        <f t="shared" si="76"/>
        <v>59.143450646374042</v>
      </c>
      <c r="DL51" s="14">
        <f t="shared" si="77"/>
        <v>53.995562183683994</v>
      </c>
      <c r="DM51" s="14">
        <f t="shared" si="78"/>
        <v>49.699781702291041</v>
      </c>
      <c r="DN51" s="14">
        <f t="shared" si="79"/>
        <v>46.242408254246044</v>
      </c>
      <c r="DO51" s="14">
        <f t="shared" si="80"/>
        <v>43.600585421490642</v>
      </c>
      <c r="DP51" s="14">
        <f t="shared" si="81"/>
        <v>41.743224978200402</v>
      </c>
      <c r="DQ51" s="14">
        <f t="shared" si="82"/>
        <v>40.631922859028101</v>
      </c>
      <c r="DR51" s="14">
        <f t="shared" si="83"/>
        <v>40.221837654286077</v>
      </c>
      <c r="DS51" s="14">
        <f t="shared" si="84"/>
        <v>40.462511661497992</v>
      </c>
      <c r="DT51" s="14">
        <f t="shared" si="85"/>
        <v>41.298623913673588</v>
      </c>
      <c r="DU51" s="14">
        <f t="shared" si="86"/>
        <v>42.670672818371216</v>
      </c>
      <c r="DV51" s="14">
        <f t="shared" si="87"/>
        <v>44.515592533278458</v>
      </c>
      <c r="DW51" s="14">
        <f t="shared" si="88"/>
        <v>46.767311678464687</v>
      </c>
      <c r="DX51" s="14">
        <f t="shared" si="89"/>
        <v>49.357265403395353</v>
      </c>
      <c r="DY51" s="14">
        <f t="shared" si="90"/>
        <v>52.214872383911029</v>
      </c>
      <c r="DZ51" s="14">
        <f t="shared" si="91"/>
        <v>55.267987406521421</v>
      </c>
      <c r="EA51" s="14">
        <f t="shared" si="92"/>
        <v>58.443338317957313</v>
      </c>
    </row>
    <row r="52" spans="5:131" x14ac:dyDescent="0.25">
      <c r="E52" s="19"/>
      <c r="F52" s="1">
        <v>300</v>
      </c>
      <c r="G52" s="6">
        <f t="shared" si="93"/>
        <v>279.60238189843898</v>
      </c>
      <c r="H52" s="6">
        <f t="shared" si="94"/>
        <v>259.39052202088476</v>
      </c>
      <c r="I52" s="6">
        <f t="shared" si="95"/>
        <v>239.54649894668285</v>
      </c>
      <c r="J52" s="6">
        <f t="shared" si="96"/>
        <v>220.2451684885815</v>
      </c>
      <c r="K52" s="6">
        <f t="shared" si="97"/>
        <v>201.6508851465241</v>
      </c>
      <c r="L52" s="6">
        <f t="shared" si="98"/>
        <v>183.91459994832275</v>
      </c>
      <c r="M52" s="6">
        <f t="shared" si="99"/>
        <v>167.17142380142872</v>
      </c>
      <c r="N52" s="6">
        <f t="shared" si="100"/>
        <v>151.53871817574776</v>
      </c>
      <c r="O52" s="6">
        <f t="shared" si="101"/>
        <v>137.11474516914944</v>
      </c>
      <c r="P52" s="6">
        <f t="shared" si="102"/>
        <v>123.97787905131753</v>
      </c>
      <c r="Q52" s="6">
        <f t="shared" si="103"/>
        <v>112.18635342884849</v>
      </c>
      <c r="R52" s="6">
        <f t="shared" si="104"/>
        <v>101.77849413799134</v>
      </c>
      <c r="S52" s="6">
        <f t="shared" si="29"/>
        <v>92.773369328193382</v>
      </c>
      <c r="T52" s="6">
        <f t="shared" si="30"/>
        <v>85.171775882257819</v>
      </c>
      <c r="U52" s="6">
        <f t="shared" si="31"/>
        <v>78.957475664875147</v>
      </c>
      <c r="V52" s="6">
        <f t="shared" si="32"/>
        <v>74.098595852212966</v>
      </c>
      <c r="W52" s="6">
        <f t="shared" si="33"/>
        <v>70.549114002070297</v>
      </c>
      <c r="X52" s="6">
        <f t="shared" si="34"/>
        <v>68.25035939799443</v>
      </c>
      <c r="Y52" s="6">
        <f t="shared" si="35"/>
        <v>67.132476096138433</v>
      </c>
      <c r="Z52" s="6">
        <f t="shared" si="36"/>
        <v>67.115808466880452</v>
      </c>
      <c r="AA52" s="6">
        <f t="shared" si="37"/>
        <v>68.112185350315272</v>
      </c>
      <c r="AB52" s="6">
        <f t="shared" si="38"/>
        <v>70.026092922154987</v>
      </c>
      <c r="AC52" s="6">
        <f t="shared" si="39"/>
        <v>72.755737982537312</v>
      </c>
      <c r="AD52" s="6">
        <f t="shared" si="40"/>
        <v>76.194011996859118</v>
      </c>
      <c r="AE52" s="6">
        <f t="shared" si="41"/>
        <v>80.229371599451639</v>
      </c>
      <c r="AF52" s="6">
        <f t="shared" si="42"/>
        <v>84.746653568698292</v>
      </c>
      <c r="AG52" s="6">
        <f t="shared" si="43"/>
        <v>89.627841977896395</v>
      </c>
      <c r="AH52" s="6">
        <f t="shared" si="11"/>
        <v>94.752803044535426</v>
      </c>
      <c r="AI52" s="1">
        <v>100</v>
      </c>
      <c r="AJ52" s="3"/>
      <c r="AK52" s="18"/>
      <c r="AL52" s="14">
        <f t="shared" si="12"/>
        <v>-1076400000</v>
      </c>
      <c r="AM52" s="14">
        <f t="shared" si="44"/>
        <v>-1002494721.9862063</v>
      </c>
      <c r="AN52" s="14">
        <f t="shared" si="45"/>
        <v>-929270179.55348575</v>
      </c>
      <c r="AO52" s="14">
        <f t="shared" si="46"/>
        <v>-857393377.56605184</v>
      </c>
      <c r="AP52" s="14">
        <f t="shared" si="47"/>
        <v>-787504382.06390274</v>
      </c>
      <c r="AQ52" s="14">
        <f t="shared" si="48"/>
        <v>-720204124.28640723</v>
      </c>
      <c r="AR52" s="14">
        <f t="shared" si="49"/>
        <v>-656043642.93869436</v>
      </c>
      <c r="AS52" s="14">
        <f t="shared" si="50"/>
        <v>-595515102.34116137</v>
      </c>
      <c r="AT52" s="14">
        <f t="shared" si="51"/>
        <v>-539044817.80439973</v>
      </c>
      <c r="AU52" s="14">
        <f t="shared" si="52"/>
        <v>-486988403.95702642</v>
      </c>
      <c r="AV52" s="14">
        <f t="shared" si="53"/>
        <v>-439628045.79576647</v>
      </c>
      <c r="AW52" s="14">
        <f t="shared" si="54"/>
        <v>-397171784.53223461</v>
      </c>
      <c r="AX52" s="14">
        <f t="shared" si="55"/>
        <v>-359754618.35368752</v>
      </c>
      <c r="AY52" s="14">
        <f t="shared" si="56"/>
        <v>-327441147.71531975</v>
      </c>
      <c r="AZ52" s="14">
        <f t="shared" si="57"/>
        <v>-300229449.28156137</v>
      </c>
      <c r="BA52" s="14">
        <f t="shared" si="58"/>
        <v>-278055843.30787033</v>
      </c>
      <c r="BB52" s="14">
        <f t="shared" si="59"/>
        <v>-260800224.95993719</v>
      </c>
      <c r="BC52" s="14">
        <f t="shared" si="60"/>
        <v>-248291657.6152941</v>
      </c>
      <c r="BD52" s="14">
        <f t="shared" si="61"/>
        <v>-240313970.80023623</v>
      </c>
      <c r="BE52" s="14">
        <f t="shared" si="62"/>
        <v>-236611161.28193212</v>
      </c>
      <c r="BF52" s="14">
        <f t="shared" si="63"/>
        <v>-236892456.77736366</v>
      </c>
      <c r="BG52" s="14">
        <f t="shared" si="64"/>
        <v>-240836961.815768</v>
      </c>
      <c r="BH52" s="14">
        <f t="shared" si="65"/>
        <v>-248097859.35651615</v>
      </c>
      <c r="BI52" s="14">
        <f t="shared" si="66"/>
        <v>-258306185.91013375</v>
      </c>
      <c r="BJ52" s="14">
        <f t="shared" si="22"/>
        <v>-271074229.73794633</v>
      </c>
      <c r="BK52" s="14">
        <f t="shared" si="23"/>
        <v>-285998620.43119431</v>
      </c>
      <c r="BL52" s="14">
        <f t="shared" si="24"/>
        <v>-302663184.55089325</v>
      </c>
      <c r="BM52" s="14">
        <f t="shared" si="25"/>
        <v>-320641638.11411631</v>
      </c>
      <c r="BN52" s="14">
        <f t="shared" si="26"/>
        <v>-339500175.56428277</v>
      </c>
      <c r="BO52" s="14">
        <f t="shared" si="27"/>
        <v>-358800000</v>
      </c>
      <c r="BQ52" s="21"/>
      <c r="BR52" s="1">
        <v>0</v>
      </c>
      <c r="BS52" s="14">
        <f t="shared" ref="BS52:CU52" si="117">$C$16/($C$17-$C$18*BR52)</f>
        <v>0.3415922014622258</v>
      </c>
      <c r="BT52" s="14">
        <f t="shared" si="117"/>
        <v>0.3867162803971414</v>
      </c>
      <c r="BU52" s="14">
        <f t="shared" si="117"/>
        <v>0.39358441341045353</v>
      </c>
      <c r="BV52" s="14">
        <f t="shared" si="117"/>
        <v>0.39465123071155611</v>
      </c>
      <c r="BW52" s="14">
        <f t="shared" si="117"/>
        <v>0.39481745705771337</v>
      </c>
      <c r="BX52" s="14">
        <f t="shared" si="117"/>
        <v>0.39484337025824801</v>
      </c>
      <c r="BY52" s="14">
        <f t="shared" si="117"/>
        <v>0.39484741020089792</v>
      </c>
      <c r="BZ52" s="14">
        <f t="shared" si="117"/>
        <v>0.39484804004704999</v>
      </c>
      <c r="CA52" s="14">
        <f t="shared" si="117"/>
        <v>0.39484813824322279</v>
      </c>
      <c r="CB52" s="14">
        <f t="shared" si="117"/>
        <v>0.39484815355250286</v>
      </c>
      <c r="CC52" s="14">
        <f t="shared" si="117"/>
        <v>0.39484815593929717</v>
      </c>
      <c r="CD52" s="14">
        <f t="shared" si="117"/>
        <v>0.39484815631141046</v>
      </c>
      <c r="CE52" s="14">
        <f t="shared" si="117"/>
        <v>0.39484815636942483</v>
      </c>
      <c r="CF52" s="14">
        <f t="shared" si="117"/>
        <v>0.39484815637846954</v>
      </c>
      <c r="CG52" s="14">
        <f t="shared" si="117"/>
        <v>0.39484815637987963</v>
      </c>
      <c r="CH52" s="14">
        <f t="shared" si="117"/>
        <v>0.39484815638009951</v>
      </c>
      <c r="CI52" s="14">
        <f t="shared" si="117"/>
        <v>0.39484815638013382</v>
      </c>
      <c r="CJ52" s="14">
        <f t="shared" si="117"/>
        <v>0.39484815638013915</v>
      </c>
      <c r="CK52" s="14">
        <f t="shared" si="117"/>
        <v>0.39484815638013998</v>
      </c>
      <c r="CL52" s="14">
        <f t="shared" si="117"/>
        <v>0.39484815638014015</v>
      </c>
      <c r="CM52" s="14">
        <f t="shared" si="117"/>
        <v>0.39484815638014015</v>
      </c>
      <c r="CN52" s="14">
        <f t="shared" si="117"/>
        <v>0.39484815638014015</v>
      </c>
      <c r="CO52" s="14">
        <f t="shared" si="117"/>
        <v>0.39484815638014015</v>
      </c>
      <c r="CP52" s="14">
        <f t="shared" si="117"/>
        <v>0.39484815638014015</v>
      </c>
      <c r="CQ52" s="14">
        <f t="shared" si="117"/>
        <v>0.39484815638014015</v>
      </c>
      <c r="CR52" s="14">
        <f t="shared" si="117"/>
        <v>0.39484815638014015</v>
      </c>
      <c r="CS52" s="14">
        <f t="shared" si="117"/>
        <v>0.39484815638014015</v>
      </c>
      <c r="CT52" s="14">
        <f t="shared" si="117"/>
        <v>0.39484815638014015</v>
      </c>
      <c r="CU52" s="14">
        <f t="shared" si="117"/>
        <v>0.39484815638014015</v>
      </c>
      <c r="CW52" s="23"/>
      <c r="CX52" s="1">
        <f t="shared" si="14"/>
        <v>300</v>
      </c>
      <c r="CY52" s="14">
        <f t="shared" si="15"/>
        <v>190.99660244288899</v>
      </c>
      <c r="CZ52" s="14">
        <f t="shared" si="106"/>
        <v>166.7539909660658</v>
      </c>
      <c r="DA52" s="14">
        <f t="shared" si="107"/>
        <v>152.86143350061801</v>
      </c>
      <c r="DB52" s="14">
        <f t="shared" si="108"/>
        <v>140.66339849143111</v>
      </c>
      <c r="DC52" s="14">
        <f t="shared" si="68"/>
        <v>129.03819047914067</v>
      </c>
      <c r="DD52" s="14">
        <f t="shared" si="69"/>
        <v>117.90807156369672</v>
      </c>
      <c r="DE52" s="14">
        <f t="shared" si="70"/>
        <v>107.33675338457097</v>
      </c>
      <c r="DF52" s="14">
        <f t="shared" si="71"/>
        <v>97.399229784158379</v>
      </c>
      <c r="DG52" s="14">
        <f t="shared" si="72"/>
        <v>88.162310442393249</v>
      </c>
      <c r="DH52" s="14">
        <f t="shared" si="73"/>
        <v>79.681304546148198</v>
      </c>
      <c r="DI52" s="14">
        <f t="shared" si="74"/>
        <v>71.999302704184046</v>
      </c>
      <c r="DJ52" s="14">
        <f t="shared" si="75"/>
        <v>65.147100303956634</v>
      </c>
      <c r="DK52" s="14">
        <f t="shared" si="76"/>
        <v>59.143450646374042</v>
      </c>
      <c r="DL52" s="14">
        <f t="shared" si="77"/>
        <v>53.995562183683994</v>
      </c>
      <c r="DM52" s="14">
        <f t="shared" si="78"/>
        <v>49.699781702291055</v>
      </c>
      <c r="DN52" s="14">
        <f t="shared" si="79"/>
        <v>46.242408254246044</v>
      </c>
      <c r="DO52" s="14">
        <f t="shared" si="80"/>
        <v>43.600585421490649</v>
      </c>
      <c r="DP52" s="14">
        <f t="shared" si="81"/>
        <v>41.743224978200402</v>
      </c>
      <c r="DQ52" s="14">
        <f t="shared" si="82"/>
        <v>40.631922859028101</v>
      </c>
      <c r="DR52" s="14">
        <f t="shared" si="83"/>
        <v>40.221837654286077</v>
      </c>
      <c r="DS52" s="14">
        <f t="shared" si="84"/>
        <v>40.462511661497992</v>
      </c>
      <c r="DT52" s="14">
        <f t="shared" si="85"/>
        <v>41.298623913673588</v>
      </c>
      <c r="DU52" s="14">
        <f t="shared" si="86"/>
        <v>42.670672818371216</v>
      </c>
      <c r="DV52" s="14">
        <f t="shared" si="87"/>
        <v>44.515592533278458</v>
      </c>
      <c r="DW52" s="14">
        <f t="shared" si="88"/>
        <v>46.767311678464687</v>
      </c>
      <c r="DX52" s="14">
        <f t="shared" si="89"/>
        <v>49.35726540339536</v>
      </c>
      <c r="DY52" s="14">
        <f t="shared" si="90"/>
        <v>52.21487238391105</v>
      </c>
      <c r="DZ52" s="14">
        <f t="shared" si="91"/>
        <v>55.267987406521421</v>
      </c>
      <c r="EA52" s="14">
        <f t="shared" si="92"/>
        <v>58.443338317957313</v>
      </c>
    </row>
    <row r="53" spans="5:131" x14ac:dyDescent="0.25">
      <c r="E53" s="19"/>
      <c r="F53" s="1">
        <v>300</v>
      </c>
      <c r="G53" s="6">
        <f t="shared" si="93"/>
        <v>279.60238189843898</v>
      </c>
      <c r="H53" s="6">
        <f t="shared" si="94"/>
        <v>259.39052202088476</v>
      </c>
      <c r="I53" s="6">
        <f t="shared" si="95"/>
        <v>239.54649894668285</v>
      </c>
      <c r="J53" s="6">
        <f t="shared" si="96"/>
        <v>220.2451684885815</v>
      </c>
      <c r="K53" s="6">
        <f t="shared" si="97"/>
        <v>201.6508851465241</v>
      </c>
      <c r="L53" s="6">
        <f t="shared" si="98"/>
        <v>183.91459994832275</v>
      </c>
      <c r="M53" s="6">
        <f t="shared" si="99"/>
        <v>167.17142380142872</v>
      </c>
      <c r="N53" s="6">
        <f t="shared" si="100"/>
        <v>151.53871817574776</v>
      </c>
      <c r="O53" s="6">
        <f t="shared" si="101"/>
        <v>137.11474516914944</v>
      </c>
      <c r="P53" s="6">
        <f t="shared" si="102"/>
        <v>123.97787905131753</v>
      </c>
      <c r="Q53" s="6">
        <f t="shared" si="103"/>
        <v>112.18635342884849</v>
      </c>
      <c r="R53" s="6">
        <f t="shared" si="104"/>
        <v>101.77849413799134</v>
      </c>
      <c r="S53" s="6">
        <f t="shared" si="29"/>
        <v>92.773369328193382</v>
      </c>
      <c r="T53" s="6">
        <f t="shared" si="30"/>
        <v>85.171775882257805</v>
      </c>
      <c r="U53" s="6">
        <f t="shared" si="31"/>
        <v>78.957475664875133</v>
      </c>
      <c r="V53" s="6">
        <f t="shared" si="32"/>
        <v>74.098595852212952</v>
      </c>
      <c r="W53" s="6">
        <f t="shared" si="33"/>
        <v>70.549114002070283</v>
      </c>
      <c r="X53" s="6">
        <f t="shared" si="34"/>
        <v>68.25035939799443</v>
      </c>
      <c r="Y53" s="6">
        <f t="shared" si="35"/>
        <v>67.132476096138433</v>
      </c>
      <c r="Z53" s="6">
        <f t="shared" si="36"/>
        <v>67.115808466880452</v>
      </c>
      <c r="AA53" s="6">
        <f t="shared" si="37"/>
        <v>68.112185350315258</v>
      </c>
      <c r="AB53" s="6">
        <f t="shared" si="38"/>
        <v>70.026092922154973</v>
      </c>
      <c r="AC53" s="6">
        <f t="shared" si="39"/>
        <v>72.755737982537312</v>
      </c>
      <c r="AD53" s="6">
        <f t="shared" si="40"/>
        <v>76.194011996859118</v>
      </c>
      <c r="AE53" s="6">
        <f t="shared" si="41"/>
        <v>80.229371599451639</v>
      </c>
      <c r="AF53" s="6">
        <f t="shared" si="42"/>
        <v>84.746653568698292</v>
      </c>
      <c r="AG53" s="6">
        <f t="shared" si="43"/>
        <v>89.627841977896395</v>
      </c>
      <c r="AH53" s="6">
        <f t="shared" si="11"/>
        <v>94.752803044535426</v>
      </c>
      <c r="AI53" s="1">
        <v>100</v>
      </c>
      <c r="AJ53" s="3"/>
      <c r="AK53" s="18"/>
      <c r="AL53" s="14">
        <f t="shared" si="12"/>
        <v>-1076400000</v>
      </c>
      <c r="AM53" s="14">
        <f t="shared" si="44"/>
        <v>-1002494721.9862063</v>
      </c>
      <c r="AN53" s="14">
        <f t="shared" si="45"/>
        <v>-929270179.55348575</v>
      </c>
      <c r="AO53" s="14">
        <f t="shared" si="46"/>
        <v>-857393377.56605172</v>
      </c>
      <c r="AP53" s="14">
        <f t="shared" si="47"/>
        <v>-787504382.06390285</v>
      </c>
      <c r="AQ53" s="14">
        <f t="shared" si="48"/>
        <v>-720204124.28640711</v>
      </c>
      <c r="AR53" s="14">
        <f t="shared" si="49"/>
        <v>-656043642.93869436</v>
      </c>
      <c r="AS53" s="14">
        <f t="shared" si="50"/>
        <v>-595515102.34116125</v>
      </c>
      <c r="AT53" s="14">
        <f t="shared" si="51"/>
        <v>-539044817.80439961</v>
      </c>
      <c r="AU53" s="14">
        <f t="shared" si="52"/>
        <v>-486988403.95702642</v>
      </c>
      <c r="AV53" s="14">
        <f t="shared" si="53"/>
        <v>-439628045.79576647</v>
      </c>
      <c r="AW53" s="14">
        <f t="shared" si="54"/>
        <v>-397171784.53223461</v>
      </c>
      <c r="AX53" s="14">
        <f t="shared" si="55"/>
        <v>-359754618.35368752</v>
      </c>
      <c r="AY53" s="14">
        <f t="shared" si="56"/>
        <v>-327441147.71531975</v>
      </c>
      <c r="AZ53" s="14">
        <f t="shared" si="57"/>
        <v>-300229449.28156137</v>
      </c>
      <c r="BA53" s="14">
        <f t="shared" si="58"/>
        <v>-278055843.30787033</v>
      </c>
      <c r="BB53" s="14">
        <f t="shared" si="59"/>
        <v>-260800224.95993719</v>
      </c>
      <c r="BC53" s="14">
        <f t="shared" si="60"/>
        <v>-248291657.61529404</v>
      </c>
      <c r="BD53" s="14">
        <f t="shared" si="61"/>
        <v>-240313970.80023623</v>
      </c>
      <c r="BE53" s="14">
        <f t="shared" si="62"/>
        <v>-236611161.28193212</v>
      </c>
      <c r="BF53" s="14">
        <f t="shared" si="63"/>
        <v>-236892456.77736366</v>
      </c>
      <c r="BG53" s="14">
        <f t="shared" si="64"/>
        <v>-240836961.815768</v>
      </c>
      <c r="BH53" s="14">
        <f t="shared" si="65"/>
        <v>-248097859.35651609</v>
      </c>
      <c r="BI53" s="14">
        <f t="shared" si="66"/>
        <v>-258306185.91013375</v>
      </c>
      <c r="BJ53" s="14">
        <f t="shared" si="22"/>
        <v>-271074229.73794633</v>
      </c>
      <c r="BK53" s="14">
        <f t="shared" si="23"/>
        <v>-285998620.43119431</v>
      </c>
      <c r="BL53" s="14">
        <f t="shared" si="24"/>
        <v>-302663184.55089325</v>
      </c>
      <c r="BM53" s="14">
        <f t="shared" si="25"/>
        <v>-320641638.11411631</v>
      </c>
      <c r="BN53" s="14">
        <f t="shared" si="26"/>
        <v>-339500175.56428277</v>
      </c>
      <c r="BO53" s="14">
        <f t="shared" si="27"/>
        <v>-358800000</v>
      </c>
      <c r="BQ53" s="21"/>
      <c r="BR53" s="1">
        <v>0</v>
      </c>
      <c r="BS53" s="14">
        <f t="shared" ref="BS53:CU53" si="118">$C$16/($C$17-$C$18*BR53)</f>
        <v>0.3415922014622258</v>
      </c>
      <c r="BT53" s="14">
        <f t="shared" si="118"/>
        <v>0.3867162803971414</v>
      </c>
      <c r="BU53" s="14">
        <f t="shared" si="118"/>
        <v>0.39358441341045353</v>
      </c>
      <c r="BV53" s="14">
        <f t="shared" si="118"/>
        <v>0.39465123071155611</v>
      </c>
      <c r="BW53" s="14">
        <f t="shared" si="118"/>
        <v>0.39481745705771337</v>
      </c>
      <c r="BX53" s="14">
        <f t="shared" si="118"/>
        <v>0.39484337025824801</v>
      </c>
      <c r="BY53" s="14">
        <f t="shared" si="118"/>
        <v>0.39484741020089792</v>
      </c>
      <c r="BZ53" s="14">
        <f t="shared" si="118"/>
        <v>0.39484804004704999</v>
      </c>
      <c r="CA53" s="14">
        <f t="shared" si="118"/>
        <v>0.39484813824322279</v>
      </c>
      <c r="CB53" s="14">
        <f t="shared" si="118"/>
        <v>0.39484815355250286</v>
      </c>
      <c r="CC53" s="14">
        <f t="shared" si="118"/>
        <v>0.39484815593929717</v>
      </c>
      <c r="CD53" s="14">
        <f t="shared" si="118"/>
        <v>0.39484815631141046</v>
      </c>
      <c r="CE53" s="14">
        <f t="shared" si="118"/>
        <v>0.39484815636942483</v>
      </c>
      <c r="CF53" s="14">
        <f t="shared" si="118"/>
        <v>0.39484815637846954</v>
      </c>
      <c r="CG53" s="14">
        <f t="shared" si="118"/>
        <v>0.39484815637987963</v>
      </c>
      <c r="CH53" s="14">
        <f t="shared" si="118"/>
        <v>0.39484815638009951</v>
      </c>
      <c r="CI53" s="14">
        <f t="shared" si="118"/>
        <v>0.39484815638013382</v>
      </c>
      <c r="CJ53" s="14">
        <f t="shared" si="118"/>
        <v>0.39484815638013915</v>
      </c>
      <c r="CK53" s="14">
        <f t="shared" si="118"/>
        <v>0.39484815638013998</v>
      </c>
      <c r="CL53" s="14">
        <f t="shared" si="118"/>
        <v>0.39484815638014015</v>
      </c>
      <c r="CM53" s="14">
        <f t="shared" si="118"/>
        <v>0.39484815638014015</v>
      </c>
      <c r="CN53" s="14">
        <f t="shared" si="118"/>
        <v>0.39484815638014015</v>
      </c>
      <c r="CO53" s="14">
        <f t="shared" si="118"/>
        <v>0.39484815638014015</v>
      </c>
      <c r="CP53" s="14">
        <f t="shared" si="118"/>
        <v>0.39484815638014015</v>
      </c>
      <c r="CQ53" s="14">
        <f t="shared" si="118"/>
        <v>0.39484815638014015</v>
      </c>
      <c r="CR53" s="14">
        <f t="shared" si="118"/>
        <v>0.39484815638014015</v>
      </c>
      <c r="CS53" s="14">
        <f t="shared" si="118"/>
        <v>0.39484815638014015</v>
      </c>
      <c r="CT53" s="14">
        <f t="shared" si="118"/>
        <v>0.39484815638014015</v>
      </c>
      <c r="CU53" s="14">
        <f t="shared" si="118"/>
        <v>0.39484815638014015</v>
      </c>
      <c r="CW53" s="23"/>
      <c r="CX53" s="1">
        <f t="shared" si="14"/>
        <v>300</v>
      </c>
      <c r="CY53" s="14">
        <f t="shared" si="15"/>
        <v>190.99660244288899</v>
      </c>
      <c r="CZ53" s="14">
        <f t="shared" si="106"/>
        <v>166.7539909660658</v>
      </c>
      <c r="DA53" s="14">
        <f t="shared" si="107"/>
        <v>152.86143350061801</v>
      </c>
      <c r="DB53" s="14">
        <f t="shared" si="108"/>
        <v>140.66339849143111</v>
      </c>
      <c r="DC53" s="14">
        <f t="shared" si="68"/>
        <v>129.03819047914067</v>
      </c>
      <c r="DD53" s="14">
        <f t="shared" si="69"/>
        <v>117.90807156369672</v>
      </c>
      <c r="DE53" s="14">
        <f t="shared" si="70"/>
        <v>107.33675338457097</v>
      </c>
      <c r="DF53" s="14">
        <f t="shared" si="71"/>
        <v>97.399229784158379</v>
      </c>
      <c r="DG53" s="14">
        <f t="shared" si="72"/>
        <v>88.162310442393249</v>
      </c>
      <c r="DH53" s="14">
        <f t="shared" si="73"/>
        <v>79.681304546148198</v>
      </c>
      <c r="DI53" s="14">
        <f t="shared" si="74"/>
        <v>71.999302704184046</v>
      </c>
      <c r="DJ53" s="14">
        <f t="shared" si="75"/>
        <v>65.147100303956634</v>
      </c>
      <c r="DK53" s="14">
        <f t="shared" si="76"/>
        <v>59.143450646374042</v>
      </c>
      <c r="DL53" s="14">
        <f t="shared" si="77"/>
        <v>53.995562183683994</v>
      </c>
      <c r="DM53" s="14">
        <f t="shared" si="78"/>
        <v>49.699781702291055</v>
      </c>
      <c r="DN53" s="14">
        <f t="shared" si="79"/>
        <v>46.242408254246044</v>
      </c>
      <c r="DO53" s="14">
        <f t="shared" si="80"/>
        <v>43.600585421490642</v>
      </c>
      <c r="DP53" s="14">
        <f t="shared" si="81"/>
        <v>41.743224978200402</v>
      </c>
      <c r="DQ53" s="14">
        <f t="shared" si="82"/>
        <v>40.631922859028101</v>
      </c>
      <c r="DR53" s="14">
        <f t="shared" si="83"/>
        <v>40.221837654286077</v>
      </c>
      <c r="DS53" s="14">
        <f t="shared" si="84"/>
        <v>40.462511661497992</v>
      </c>
      <c r="DT53" s="14">
        <f t="shared" si="85"/>
        <v>41.29862391367358</v>
      </c>
      <c r="DU53" s="14">
        <f t="shared" si="86"/>
        <v>42.670672818371216</v>
      </c>
      <c r="DV53" s="14">
        <f t="shared" si="87"/>
        <v>44.515592533278458</v>
      </c>
      <c r="DW53" s="14">
        <f t="shared" si="88"/>
        <v>46.767311678464687</v>
      </c>
      <c r="DX53" s="14">
        <f t="shared" si="89"/>
        <v>49.35726540339536</v>
      </c>
      <c r="DY53" s="14">
        <f t="shared" si="90"/>
        <v>52.21487238391105</v>
      </c>
      <c r="DZ53" s="14">
        <f t="shared" si="91"/>
        <v>55.267987406521421</v>
      </c>
      <c r="EA53" s="14">
        <f t="shared" si="92"/>
        <v>58.443338317957313</v>
      </c>
    </row>
    <row r="54" spans="5:131" x14ac:dyDescent="0.25">
      <c r="E54" s="19"/>
      <c r="F54" s="1">
        <v>300</v>
      </c>
      <c r="G54" s="6">
        <f t="shared" si="93"/>
        <v>279.60238189843898</v>
      </c>
      <c r="H54" s="6">
        <f t="shared" si="94"/>
        <v>259.39052202088476</v>
      </c>
      <c r="I54" s="6">
        <f t="shared" si="95"/>
        <v>239.54649894668285</v>
      </c>
      <c r="J54" s="6">
        <f t="shared" si="96"/>
        <v>220.2451684885815</v>
      </c>
      <c r="K54" s="6">
        <f t="shared" si="97"/>
        <v>201.6508851465241</v>
      </c>
      <c r="L54" s="6">
        <f t="shared" si="98"/>
        <v>183.91459994832266</v>
      </c>
      <c r="M54" s="6">
        <f t="shared" si="99"/>
        <v>167.17142380142863</v>
      </c>
      <c r="N54" s="6">
        <f t="shared" si="100"/>
        <v>151.53871817574768</v>
      </c>
      <c r="O54" s="6">
        <f t="shared" si="101"/>
        <v>137.11474516914939</v>
      </c>
      <c r="P54" s="6">
        <f t="shared" si="102"/>
        <v>123.9778790513175</v>
      </c>
      <c r="Q54" s="6">
        <f t="shared" si="103"/>
        <v>112.18635342884849</v>
      </c>
      <c r="R54" s="6">
        <f t="shared" si="104"/>
        <v>101.77849413799134</v>
      </c>
      <c r="S54" s="6">
        <f t="shared" si="29"/>
        <v>92.773369328193354</v>
      </c>
      <c r="T54" s="6">
        <f t="shared" si="30"/>
        <v>85.171775882257805</v>
      </c>
      <c r="U54" s="6">
        <f t="shared" si="31"/>
        <v>78.957475664875119</v>
      </c>
      <c r="V54" s="6">
        <f t="shared" si="32"/>
        <v>74.098595852212952</v>
      </c>
      <c r="W54" s="6">
        <f t="shared" si="33"/>
        <v>70.549114002070269</v>
      </c>
      <c r="X54" s="6">
        <f t="shared" si="34"/>
        <v>68.250359397994416</v>
      </c>
      <c r="Y54" s="6">
        <f t="shared" si="35"/>
        <v>67.132476096138419</v>
      </c>
      <c r="Z54" s="6">
        <f t="shared" si="36"/>
        <v>67.115808466880438</v>
      </c>
      <c r="AA54" s="6">
        <f t="shared" si="37"/>
        <v>68.112185350315258</v>
      </c>
      <c r="AB54" s="6">
        <f t="shared" si="38"/>
        <v>70.026092922154973</v>
      </c>
      <c r="AC54" s="6">
        <f t="shared" si="39"/>
        <v>72.755737982537312</v>
      </c>
      <c r="AD54" s="6">
        <f t="shared" si="40"/>
        <v>76.194011996859089</v>
      </c>
      <c r="AE54" s="6">
        <f t="shared" si="41"/>
        <v>80.229371599451611</v>
      </c>
      <c r="AF54" s="6">
        <f t="shared" si="42"/>
        <v>84.74665356869825</v>
      </c>
      <c r="AG54" s="6">
        <f t="shared" si="43"/>
        <v>89.627841977896367</v>
      </c>
      <c r="AH54" s="6">
        <f t="shared" si="11"/>
        <v>94.752803044535426</v>
      </c>
      <c r="AI54" s="1">
        <v>100</v>
      </c>
      <c r="AJ54" s="3"/>
      <c r="AK54" s="18"/>
      <c r="AL54" s="14">
        <f t="shared" si="12"/>
        <v>-1076400000</v>
      </c>
      <c r="AM54" s="14">
        <f t="shared" si="44"/>
        <v>-1002494721.9862061</v>
      </c>
      <c r="AN54" s="14">
        <f t="shared" si="45"/>
        <v>-929270179.55348551</v>
      </c>
      <c r="AO54" s="14">
        <f t="shared" si="46"/>
        <v>-857393377.56605172</v>
      </c>
      <c r="AP54" s="14">
        <f t="shared" si="47"/>
        <v>-787504382.06390262</v>
      </c>
      <c r="AQ54" s="14">
        <f t="shared" si="48"/>
        <v>-720204124.28640699</v>
      </c>
      <c r="AR54" s="14">
        <f t="shared" si="49"/>
        <v>-656043642.93869412</v>
      </c>
      <c r="AS54" s="14">
        <f t="shared" si="50"/>
        <v>-595515102.34116113</v>
      </c>
      <c r="AT54" s="14">
        <f t="shared" si="51"/>
        <v>-539044817.80439937</v>
      </c>
      <c r="AU54" s="14">
        <f t="shared" si="52"/>
        <v>-486988403.9570263</v>
      </c>
      <c r="AV54" s="14">
        <f t="shared" si="53"/>
        <v>-439628045.79576641</v>
      </c>
      <c r="AW54" s="14">
        <f t="shared" si="54"/>
        <v>-397171784.53223443</v>
      </c>
      <c r="AX54" s="14">
        <f t="shared" si="55"/>
        <v>-359754618.35368747</v>
      </c>
      <c r="AY54" s="14">
        <f t="shared" si="56"/>
        <v>-327441147.71531969</v>
      </c>
      <c r="AZ54" s="14">
        <f t="shared" si="57"/>
        <v>-300229449.28156137</v>
      </c>
      <c r="BA54" s="14">
        <f t="shared" si="58"/>
        <v>-278055843.30787027</v>
      </c>
      <c r="BB54" s="14">
        <f t="shared" si="59"/>
        <v>-260800224.95993716</v>
      </c>
      <c r="BC54" s="14">
        <f t="shared" si="60"/>
        <v>-248291657.61529398</v>
      </c>
      <c r="BD54" s="14">
        <f t="shared" si="61"/>
        <v>-240313970.80023617</v>
      </c>
      <c r="BE54" s="14">
        <f t="shared" si="62"/>
        <v>-236611161.28193206</v>
      </c>
      <c r="BF54" s="14">
        <f t="shared" si="63"/>
        <v>-236892456.7773636</v>
      </c>
      <c r="BG54" s="14">
        <f t="shared" si="64"/>
        <v>-240836961.81576794</v>
      </c>
      <c r="BH54" s="14">
        <f t="shared" si="65"/>
        <v>-248097859.35651603</v>
      </c>
      <c r="BI54" s="14">
        <f t="shared" si="66"/>
        <v>-258306185.91013372</v>
      </c>
      <c r="BJ54" s="14">
        <f t="shared" si="22"/>
        <v>-271074229.73794621</v>
      </c>
      <c r="BK54" s="14">
        <f t="shared" si="23"/>
        <v>-285998620.43119425</v>
      </c>
      <c r="BL54" s="14">
        <f t="shared" si="24"/>
        <v>-302663184.55089313</v>
      </c>
      <c r="BM54" s="14">
        <f t="shared" si="25"/>
        <v>-320641638.11411619</v>
      </c>
      <c r="BN54" s="14">
        <f t="shared" si="26"/>
        <v>-339500175.56428277</v>
      </c>
      <c r="BO54" s="14">
        <f t="shared" si="27"/>
        <v>-358800000</v>
      </c>
      <c r="BQ54" s="21"/>
      <c r="BR54" s="1">
        <v>0</v>
      </c>
      <c r="BS54" s="14">
        <f t="shared" ref="BS54:CU54" si="119">$C$16/($C$17-$C$18*BR54)</f>
        <v>0.3415922014622258</v>
      </c>
      <c r="BT54" s="14">
        <f t="shared" si="119"/>
        <v>0.3867162803971414</v>
      </c>
      <c r="BU54" s="14">
        <f t="shared" si="119"/>
        <v>0.39358441341045353</v>
      </c>
      <c r="BV54" s="14">
        <f t="shared" si="119"/>
        <v>0.39465123071155611</v>
      </c>
      <c r="BW54" s="14">
        <f t="shared" si="119"/>
        <v>0.39481745705771337</v>
      </c>
      <c r="BX54" s="14">
        <f t="shared" si="119"/>
        <v>0.39484337025824801</v>
      </c>
      <c r="BY54" s="14">
        <f t="shared" si="119"/>
        <v>0.39484741020089792</v>
      </c>
      <c r="BZ54" s="14">
        <f t="shared" si="119"/>
        <v>0.39484804004704999</v>
      </c>
      <c r="CA54" s="14">
        <f t="shared" si="119"/>
        <v>0.39484813824322279</v>
      </c>
      <c r="CB54" s="14">
        <f t="shared" si="119"/>
        <v>0.39484815355250286</v>
      </c>
      <c r="CC54" s="14">
        <f t="shared" si="119"/>
        <v>0.39484815593929717</v>
      </c>
      <c r="CD54" s="14">
        <f t="shared" si="119"/>
        <v>0.39484815631141046</v>
      </c>
      <c r="CE54" s="14">
        <f t="shared" si="119"/>
        <v>0.39484815636942483</v>
      </c>
      <c r="CF54" s="14">
        <f t="shared" si="119"/>
        <v>0.39484815637846954</v>
      </c>
      <c r="CG54" s="14">
        <f t="shared" si="119"/>
        <v>0.39484815637987963</v>
      </c>
      <c r="CH54" s="14">
        <f t="shared" si="119"/>
        <v>0.39484815638009951</v>
      </c>
      <c r="CI54" s="14">
        <f t="shared" si="119"/>
        <v>0.39484815638013382</v>
      </c>
      <c r="CJ54" s="14">
        <f t="shared" si="119"/>
        <v>0.39484815638013915</v>
      </c>
      <c r="CK54" s="14">
        <f t="shared" si="119"/>
        <v>0.39484815638013998</v>
      </c>
      <c r="CL54" s="14">
        <f t="shared" si="119"/>
        <v>0.39484815638014015</v>
      </c>
      <c r="CM54" s="14">
        <f t="shared" si="119"/>
        <v>0.39484815638014015</v>
      </c>
      <c r="CN54" s="14">
        <f t="shared" si="119"/>
        <v>0.39484815638014015</v>
      </c>
      <c r="CO54" s="14">
        <f t="shared" si="119"/>
        <v>0.39484815638014015</v>
      </c>
      <c r="CP54" s="14">
        <f t="shared" si="119"/>
        <v>0.39484815638014015</v>
      </c>
      <c r="CQ54" s="14">
        <f t="shared" si="119"/>
        <v>0.39484815638014015</v>
      </c>
      <c r="CR54" s="14">
        <f t="shared" si="119"/>
        <v>0.39484815638014015</v>
      </c>
      <c r="CS54" s="14">
        <f t="shared" si="119"/>
        <v>0.39484815638014015</v>
      </c>
      <c r="CT54" s="14">
        <f t="shared" si="119"/>
        <v>0.39484815638014015</v>
      </c>
      <c r="CU54" s="14">
        <f t="shared" si="119"/>
        <v>0.39484815638014015</v>
      </c>
      <c r="CW54" s="23"/>
      <c r="CX54" s="1">
        <f t="shared" si="14"/>
        <v>300</v>
      </c>
      <c r="CY54" s="14">
        <f t="shared" si="15"/>
        <v>190.99660244288899</v>
      </c>
      <c r="CZ54" s="14">
        <f t="shared" si="106"/>
        <v>166.7539909660658</v>
      </c>
      <c r="DA54" s="14">
        <f t="shared" si="107"/>
        <v>152.86143350061801</v>
      </c>
      <c r="DB54" s="14">
        <f t="shared" si="108"/>
        <v>140.66339849143111</v>
      </c>
      <c r="DC54" s="14">
        <f t="shared" si="68"/>
        <v>129.03819047914067</v>
      </c>
      <c r="DD54" s="14">
        <f t="shared" si="69"/>
        <v>117.90807156369668</v>
      </c>
      <c r="DE54" s="14">
        <f t="shared" si="70"/>
        <v>107.33675338457093</v>
      </c>
      <c r="DF54" s="14">
        <f t="shared" si="71"/>
        <v>97.399229784158322</v>
      </c>
      <c r="DG54" s="14">
        <f t="shared" si="72"/>
        <v>88.16231044239322</v>
      </c>
      <c r="DH54" s="14">
        <f t="shared" si="73"/>
        <v>79.681304546148183</v>
      </c>
      <c r="DI54" s="14">
        <f t="shared" si="74"/>
        <v>71.999302704184032</v>
      </c>
      <c r="DJ54" s="14">
        <f t="shared" si="75"/>
        <v>65.147100303956634</v>
      </c>
      <c r="DK54" s="14">
        <f t="shared" si="76"/>
        <v>59.143450646374028</v>
      </c>
      <c r="DL54" s="14">
        <f t="shared" si="77"/>
        <v>53.995562183683987</v>
      </c>
      <c r="DM54" s="14">
        <f t="shared" si="78"/>
        <v>49.699781702291041</v>
      </c>
      <c r="DN54" s="14">
        <f t="shared" si="79"/>
        <v>46.242408254246037</v>
      </c>
      <c r="DO54" s="14">
        <f t="shared" si="80"/>
        <v>43.600585421490628</v>
      </c>
      <c r="DP54" s="14">
        <f t="shared" si="81"/>
        <v>41.743224978200395</v>
      </c>
      <c r="DQ54" s="14">
        <f t="shared" si="82"/>
        <v>40.631922859028094</v>
      </c>
      <c r="DR54" s="14">
        <f t="shared" si="83"/>
        <v>40.22183765428607</v>
      </c>
      <c r="DS54" s="14">
        <f t="shared" si="84"/>
        <v>40.462511661497985</v>
      </c>
      <c r="DT54" s="14">
        <f t="shared" si="85"/>
        <v>41.298623913673573</v>
      </c>
      <c r="DU54" s="14">
        <f t="shared" si="86"/>
        <v>42.670672818371216</v>
      </c>
      <c r="DV54" s="14">
        <f t="shared" si="87"/>
        <v>44.515592533278443</v>
      </c>
      <c r="DW54" s="14">
        <f t="shared" si="88"/>
        <v>46.767311678464672</v>
      </c>
      <c r="DX54" s="14">
        <f t="shared" si="89"/>
        <v>49.357265403395338</v>
      </c>
      <c r="DY54" s="14">
        <f t="shared" si="90"/>
        <v>52.214872383911029</v>
      </c>
      <c r="DZ54" s="14">
        <f t="shared" si="91"/>
        <v>55.267987406521421</v>
      </c>
      <c r="EA54" s="14">
        <f t="shared" si="92"/>
        <v>58.443338317957313</v>
      </c>
    </row>
    <row r="55" spans="5:131" x14ac:dyDescent="0.25">
      <c r="E55" s="19"/>
      <c r="F55" s="1">
        <v>300</v>
      </c>
      <c r="G55" s="6">
        <f t="shared" si="93"/>
        <v>279.60238189843898</v>
      </c>
      <c r="H55" s="6">
        <f t="shared" si="94"/>
        <v>259.39052202088476</v>
      </c>
      <c r="I55" s="6">
        <f t="shared" si="95"/>
        <v>239.54649894668285</v>
      </c>
      <c r="J55" s="6">
        <f t="shared" si="96"/>
        <v>220.2451684885815</v>
      </c>
      <c r="K55" s="6">
        <f t="shared" si="97"/>
        <v>201.65088514652408</v>
      </c>
      <c r="L55" s="6">
        <f t="shared" si="98"/>
        <v>183.91459994832263</v>
      </c>
      <c r="M55" s="6">
        <f t="shared" si="99"/>
        <v>167.1714238014286</v>
      </c>
      <c r="N55" s="6">
        <f t="shared" si="100"/>
        <v>151.53871817574765</v>
      </c>
      <c r="O55" s="6">
        <f t="shared" si="101"/>
        <v>137.11474516914933</v>
      </c>
      <c r="P55" s="6">
        <f t="shared" si="102"/>
        <v>123.97787905131746</v>
      </c>
      <c r="Q55" s="6">
        <f t="shared" si="103"/>
        <v>112.18635342884843</v>
      </c>
      <c r="R55" s="6">
        <f t="shared" si="104"/>
        <v>101.7784941379913</v>
      </c>
      <c r="S55" s="6">
        <f t="shared" si="29"/>
        <v>92.77336932819334</v>
      </c>
      <c r="T55" s="6">
        <f t="shared" si="30"/>
        <v>85.171775882257776</v>
      </c>
      <c r="U55" s="6">
        <f t="shared" si="31"/>
        <v>78.957475664875091</v>
      </c>
      <c r="V55" s="6">
        <f t="shared" si="32"/>
        <v>74.098595852212924</v>
      </c>
      <c r="W55" s="6">
        <f t="shared" si="33"/>
        <v>70.549114002070255</v>
      </c>
      <c r="X55" s="6">
        <f t="shared" si="34"/>
        <v>68.250359397994401</v>
      </c>
      <c r="Y55" s="6">
        <f t="shared" si="35"/>
        <v>67.132476096138404</v>
      </c>
      <c r="Z55" s="6">
        <f t="shared" si="36"/>
        <v>67.115808466880409</v>
      </c>
      <c r="AA55" s="6">
        <f t="shared" si="37"/>
        <v>68.112185350315229</v>
      </c>
      <c r="AB55" s="6">
        <f t="shared" si="38"/>
        <v>70.026092922154945</v>
      </c>
      <c r="AC55" s="6">
        <f t="shared" si="39"/>
        <v>72.755737982537283</v>
      </c>
      <c r="AD55" s="6">
        <f t="shared" si="40"/>
        <v>76.194011996859061</v>
      </c>
      <c r="AE55" s="6">
        <f t="shared" si="41"/>
        <v>80.229371599451582</v>
      </c>
      <c r="AF55" s="6">
        <f t="shared" si="42"/>
        <v>84.746653568698235</v>
      </c>
      <c r="AG55" s="6">
        <f t="shared" si="43"/>
        <v>89.627841977896367</v>
      </c>
      <c r="AH55" s="6">
        <f t="shared" si="11"/>
        <v>94.752803044535426</v>
      </c>
      <c r="AI55" s="1">
        <v>100</v>
      </c>
      <c r="AJ55" s="3"/>
      <c r="AK55" s="18"/>
      <c r="AL55" s="14">
        <f t="shared" si="12"/>
        <v>-1076400000</v>
      </c>
      <c r="AM55" s="14">
        <f t="shared" si="44"/>
        <v>-1002494721.9862061</v>
      </c>
      <c r="AN55" s="14">
        <f t="shared" si="45"/>
        <v>-929270179.55348551</v>
      </c>
      <c r="AO55" s="14">
        <f t="shared" si="46"/>
        <v>-857393377.56605172</v>
      </c>
      <c r="AP55" s="14">
        <f t="shared" si="47"/>
        <v>-787504382.06390262</v>
      </c>
      <c r="AQ55" s="14">
        <f t="shared" si="48"/>
        <v>-720204124.28640687</v>
      </c>
      <c r="AR55" s="14">
        <f t="shared" si="49"/>
        <v>-656043642.93869412</v>
      </c>
      <c r="AS55" s="14">
        <f t="shared" si="50"/>
        <v>-595515102.34116101</v>
      </c>
      <c r="AT55" s="14">
        <f t="shared" si="51"/>
        <v>-539044817.80439937</v>
      </c>
      <c r="AU55" s="14">
        <f t="shared" si="52"/>
        <v>-486988403.95702618</v>
      </c>
      <c r="AV55" s="14">
        <f t="shared" si="53"/>
        <v>-439628045.79576629</v>
      </c>
      <c r="AW55" s="14">
        <f t="shared" si="54"/>
        <v>-397171784.53223437</v>
      </c>
      <c r="AX55" s="14">
        <f t="shared" si="55"/>
        <v>-359754618.35368735</v>
      </c>
      <c r="AY55" s="14">
        <f t="shared" si="56"/>
        <v>-327441147.71531963</v>
      </c>
      <c r="AZ55" s="14">
        <f t="shared" si="57"/>
        <v>-300229449.28156126</v>
      </c>
      <c r="BA55" s="14">
        <f t="shared" si="58"/>
        <v>-278055843.30787021</v>
      </c>
      <c r="BB55" s="14">
        <f t="shared" si="59"/>
        <v>-260800224.9599371</v>
      </c>
      <c r="BC55" s="14">
        <f t="shared" si="60"/>
        <v>-248291657.61529398</v>
      </c>
      <c r="BD55" s="14">
        <f t="shared" si="61"/>
        <v>-240313970.80023614</v>
      </c>
      <c r="BE55" s="14">
        <f t="shared" si="62"/>
        <v>-236611161.28193203</v>
      </c>
      <c r="BF55" s="14">
        <f t="shared" si="63"/>
        <v>-236892456.77736348</v>
      </c>
      <c r="BG55" s="14">
        <f t="shared" si="64"/>
        <v>-240836961.81576794</v>
      </c>
      <c r="BH55" s="14">
        <f t="shared" si="65"/>
        <v>-248097859.35651597</v>
      </c>
      <c r="BI55" s="14">
        <f t="shared" si="66"/>
        <v>-258306185.9101336</v>
      </c>
      <c r="BJ55" s="14">
        <f t="shared" si="22"/>
        <v>-271074229.73794615</v>
      </c>
      <c r="BK55" s="14">
        <f t="shared" si="23"/>
        <v>-285998620.43119419</v>
      </c>
      <c r="BL55" s="14">
        <f t="shared" si="24"/>
        <v>-302663184.55089301</v>
      </c>
      <c r="BM55" s="14">
        <f t="shared" si="25"/>
        <v>-320641638.11411613</v>
      </c>
      <c r="BN55" s="14">
        <f t="shared" si="26"/>
        <v>-339500175.56428277</v>
      </c>
      <c r="BO55" s="14">
        <f t="shared" si="27"/>
        <v>-358800000</v>
      </c>
      <c r="BQ55" s="21"/>
      <c r="BR55" s="1">
        <v>0</v>
      </c>
      <c r="BS55" s="14">
        <f t="shared" ref="BS55:CU55" si="120">$C$16/($C$17-$C$18*BR55)</f>
        <v>0.3415922014622258</v>
      </c>
      <c r="BT55" s="14">
        <f t="shared" si="120"/>
        <v>0.3867162803971414</v>
      </c>
      <c r="BU55" s="14">
        <f t="shared" si="120"/>
        <v>0.39358441341045353</v>
      </c>
      <c r="BV55" s="14">
        <f t="shared" si="120"/>
        <v>0.39465123071155611</v>
      </c>
      <c r="BW55" s="14">
        <f t="shared" si="120"/>
        <v>0.39481745705771337</v>
      </c>
      <c r="BX55" s="14">
        <f t="shared" si="120"/>
        <v>0.39484337025824801</v>
      </c>
      <c r="BY55" s="14">
        <f t="shared" si="120"/>
        <v>0.39484741020089792</v>
      </c>
      <c r="BZ55" s="14">
        <f t="shared" si="120"/>
        <v>0.39484804004704999</v>
      </c>
      <c r="CA55" s="14">
        <f t="shared" si="120"/>
        <v>0.39484813824322279</v>
      </c>
      <c r="CB55" s="14">
        <f t="shared" si="120"/>
        <v>0.39484815355250286</v>
      </c>
      <c r="CC55" s="14">
        <f t="shared" si="120"/>
        <v>0.39484815593929717</v>
      </c>
      <c r="CD55" s="14">
        <f t="shared" si="120"/>
        <v>0.39484815631141046</v>
      </c>
      <c r="CE55" s="14">
        <f t="shared" si="120"/>
        <v>0.39484815636942483</v>
      </c>
      <c r="CF55" s="14">
        <f t="shared" si="120"/>
        <v>0.39484815637846954</v>
      </c>
      <c r="CG55" s="14">
        <f t="shared" si="120"/>
        <v>0.39484815637987963</v>
      </c>
      <c r="CH55" s="14">
        <f t="shared" si="120"/>
        <v>0.39484815638009951</v>
      </c>
      <c r="CI55" s="14">
        <f t="shared" si="120"/>
        <v>0.39484815638013382</v>
      </c>
      <c r="CJ55" s="14">
        <f t="shared" si="120"/>
        <v>0.39484815638013915</v>
      </c>
      <c r="CK55" s="14">
        <f t="shared" si="120"/>
        <v>0.39484815638013998</v>
      </c>
      <c r="CL55" s="14">
        <f t="shared" si="120"/>
        <v>0.39484815638014015</v>
      </c>
      <c r="CM55" s="14">
        <f t="shared" si="120"/>
        <v>0.39484815638014015</v>
      </c>
      <c r="CN55" s="14">
        <f t="shared" si="120"/>
        <v>0.39484815638014015</v>
      </c>
      <c r="CO55" s="14">
        <f t="shared" si="120"/>
        <v>0.39484815638014015</v>
      </c>
      <c r="CP55" s="14">
        <f t="shared" si="120"/>
        <v>0.39484815638014015</v>
      </c>
      <c r="CQ55" s="14">
        <f t="shared" si="120"/>
        <v>0.39484815638014015</v>
      </c>
      <c r="CR55" s="14">
        <f t="shared" si="120"/>
        <v>0.39484815638014015</v>
      </c>
      <c r="CS55" s="14">
        <f t="shared" si="120"/>
        <v>0.39484815638014015</v>
      </c>
      <c r="CT55" s="14">
        <f t="shared" si="120"/>
        <v>0.39484815638014015</v>
      </c>
      <c r="CU55" s="14">
        <f t="shared" si="120"/>
        <v>0.39484815638014015</v>
      </c>
      <c r="CW55" s="23"/>
      <c r="CX55" s="1">
        <f t="shared" si="14"/>
        <v>300</v>
      </c>
      <c r="CY55" s="14">
        <f t="shared" si="15"/>
        <v>190.99660244288899</v>
      </c>
      <c r="CZ55" s="14">
        <f t="shared" si="106"/>
        <v>166.7539909660658</v>
      </c>
      <c r="DA55" s="14">
        <f t="shared" si="107"/>
        <v>152.86143350061801</v>
      </c>
      <c r="DB55" s="14">
        <f t="shared" si="108"/>
        <v>140.66339849143111</v>
      </c>
      <c r="DC55" s="14">
        <f t="shared" si="68"/>
        <v>129.03819047914067</v>
      </c>
      <c r="DD55" s="14">
        <f t="shared" si="69"/>
        <v>117.90807156369668</v>
      </c>
      <c r="DE55" s="14">
        <f t="shared" si="70"/>
        <v>107.33675338457091</v>
      </c>
      <c r="DF55" s="14">
        <f t="shared" si="71"/>
        <v>97.399229784158322</v>
      </c>
      <c r="DG55" s="14">
        <f t="shared" si="72"/>
        <v>88.162310442393192</v>
      </c>
      <c r="DH55" s="14">
        <f t="shared" si="73"/>
        <v>79.681304546148155</v>
      </c>
      <c r="DI55" s="14">
        <f t="shared" si="74"/>
        <v>71.999302704184004</v>
      </c>
      <c r="DJ55" s="14">
        <f t="shared" si="75"/>
        <v>65.147100303956606</v>
      </c>
      <c r="DK55" s="14">
        <f t="shared" si="76"/>
        <v>59.143450646374014</v>
      </c>
      <c r="DL55" s="14">
        <f t="shared" si="77"/>
        <v>53.995562183683973</v>
      </c>
      <c r="DM55" s="14">
        <f t="shared" si="78"/>
        <v>49.699781702291027</v>
      </c>
      <c r="DN55" s="14">
        <f t="shared" si="79"/>
        <v>46.242408254246023</v>
      </c>
      <c r="DO55" s="14">
        <f t="shared" si="80"/>
        <v>43.600585421490628</v>
      </c>
      <c r="DP55" s="14">
        <f t="shared" si="81"/>
        <v>41.743224978200388</v>
      </c>
      <c r="DQ55" s="14">
        <f t="shared" si="82"/>
        <v>40.631922859028087</v>
      </c>
      <c r="DR55" s="14">
        <f t="shared" si="83"/>
        <v>40.221837654286055</v>
      </c>
      <c r="DS55" s="14">
        <f t="shared" si="84"/>
        <v>40.462511661497977</v>
      </c>
      <c r="DT55" s="14">
        <f t="shared" si="85"/>
        <v>41.298623913673566</v>
      </c>
      <c r="DU55" s="14">
        <f t="shared" si="86"/>
        <v>42.670672818371195</v>
      </c>
      <c r="DV55" s="14">
        <f t="shared" si="87"/>
        <v>44.515592533278429</v>
      </c>
      <c r="DW55" s="14">
        <f t="shared" si="88"/>
        <v>46.767311678464665</v>
      </c>
      <c r="DX55" s="14">
        <f t="shared" si="89"/>
        <v>49.357265403395324</v>
      </c>
      <c r="DY55" s="14">
        <f t="shared" si="90"/>
        <v>52.214872383911022</v>
      </c>
      <c r="DZ55" s="14">
        <f t="shared" si="91"/>
        <v>55.267987406521421</v>
      </c>
      <c r="EA55" s="14">
        <f t="shared" si="92"/>
        <v>58.443338317957313</v>
      </c>
    </row>
    <row r="56" spans="5:131" x14ac:dyDescent="0.25">
      <c r="E56" s="19"/>
      <c r="F56" s="1">
        <v>300</v>
      </c>
      <c r="G56" s="6">
        <f t="shared" si="93"/>
        <v>279.60238189843892</v>
      </c>
      <c r="H56" s="6">
        <f t="shared" si="94"/>
        <v>259.39052202088476</v>
      </c>
      <c r="I56" s="6">
        <f t="shared" si="95"/>
        <v>239.54649894668285</v>
      </c>
      <c r="J56" s="6">
        <f t="shared" si="96"/>
        <v>220.2451684885815</v>
      </c>
      <c r="K56" s="6">
        <f t="shared" si="97"/>
        <v>201.65088514652408</v>
      </c>
      <c r="L56" s="6">
        <f t="shared" si="98"/>
        <v>183.91459994832263</v>
      </c>
      <c r="M56" s="6">
        <f t="shared" si="99"/>
        <v>167.1714238014286</v>
      </c>
      <c r="N56" s="6">
        <f t="shared" si="100"/>
        <v>151.53871817574765</v>
      </c>
      <c r="O56" s="6">
        <f t="shared" si="101"/>
        <v>137.11474516914933</v>
      </c>
      <c r="P56" s="6">
        <f t="shared" si="102"/>
        <v>123.97787905131746</v>
      </c>
      <c r="Q56" s="6">
        <f t="shared" si="103"/>
        <v>112.18635342884843</v>
      </c>
      <c r="R56" s="6">
        <f t="shared" si="104"/>
        <v>101.77849413799129</v>
      </c>
      <c r="S56" s="6">
        <f t="shared" si="29"/>
        <v>92.773369328193326</v>
      </c>
      <c r="T56" s="6">
        <f t="shared" si="30"/>
        <v>85.171775882257776</v>
      </c>
      <c r="U56" s="6">
        <f t="shared" si="31"/>
        <v>78.957475664875091</v>
      </c>
      <c r="V56" s="6">
        <f t="shared" si="32"/>
        <v>74.09859585221291</v>
      </c>
      <c r="W56" s="6">
        <f t="shared" si="33"/>
        <v>70.54911400207024</v>
      </c>
      <c r="X56" s="6">
        <f t="shared" si="34"/>
        <v>68.250359397994387</v>
      </c>
      <c r="Y56" s="6">
        <f t="shared" si="35"/>
        <v>67.13247609613839</v>
      </c>
      <c r="Z56" s="6">
        <f t="shared" si="36"/>
        <v>67.115808466880409</v>
      </c>
      <c r="AA56" s="6">
        <f t="shared" si="37"/>
        <v>68.112185350315229</v>
      </c>
      <c r="AB56" s="6">
        <f t="shared" si="38"/>
        <v>70.026092922154945</v>
      </c>
      <c r="AC56" s="6">
        <f t="shared" si="39"/>
        <v>72.755737982537283</v>
      </c>
      <c r="AD56" s="6">
        <f t="shared" si="40"/>
        <v>76.194011996859061</v>
      </c>
      <c r="AE56" s="6">
        <f t="shared" si="41"/>
        <v>80.229371599451582</v>
      </c>
      <c r="AF56" s="6">
        <f t="shared" si="42"/>
        <v>84.746653568698235</v>
      </c>
      <c r="AG56" s="6">
        <f t="shared" si="43"/>
        <v>89.627841977896352</v>
      </c>
      <c r="AH56" s="6">
        <f t="shared" si="11"/>
        <v>94.752803044535426</v>
      </c>
      <c r="AI56" s="1">
        <v>100</v>
      </c>
      <c r="AJ56" s="3"/>
      <c r="AK56" s="18"/>
      <c r="AL56" s="14">
        <f t="shared" si="12"/>
        <v>-1076400000</v>
      </c>
      <c r="AM56" s="14">
        <f t="shared" si="44"/>
        <v>-1002494721.9862058</v>
      </c>
      <c r="AN56" s="14">
        <f t="shared" si="45"/>
        <v>-929270179.55348551</v>
      </c>
      <c r="AO56" s="14">
        <f t="shared" si="46"/>
        <v>-857393377.56605172</v>
      </c>
      <c r="AP56" s="14">
        <f t="shared" si="47"/>
        <v>-787504382.06390262</v>
      </c>
      <c r="AQ56" s="14">
        <f t="shared" si="48"/>
        <v>-720204124.28640687</v>
      </c>
      <c r="AR56" s="14">
        <f t="shared" si="49"/>
        <v>-656043642.93869412</v>
      </c>
      <c r="AS56" s="14">
        <f t="shared" si="50"/>
        <v>-595515102.34116077</v>
      </c>
      <c r="AT56" s="14">
        <f t="shared" si="51"/>
        <v>-539044817.80439925</v>
      </c>
      <c r="AU56" s="14">
        <f t="shared" si="52"/>
        <v>-486988403.95702618</v>
      </c>
      <c r="AV56" s="14">
        <f t="shared" si="53"/>
        <v>-439628045.79576617</v>
      </c>
      <c r="AW56" s="14">
        <f t="shared" si="54"/>
        <v>-397171784.53223431</v>
      </c>
      <c r="AX56" s="14">
        <f t="shared" si="55"/>
        <v>-359754618.35368735</v>
      </c>
      <c r="AY56" s="14">
        <f t="shared" si="56"/>
        <v>-327441147.71531957</v>
      </c>
      <c r="AZ56" s="14">
        <f t="shared" si="57"/>
        <v>-300229449.2815612</v>
      </c>
      <c r="BA56" s="14">
        <f t="shared" si="58"/>
        <v>-278055843.30787015</v>
      </c>
      <c r="BB56" s="14">
        <f t="shared" si="59"/>
        <v>-260800224.95993704</v>
      </c>
      <c r="BC56" s="14">
        <f t="shared" si="60"/>
        <v>-248291657.61529395</v>
      </c>
      <c r="BD56" s="14">
        <f t="shared" si="61"/>
        <v>-240313970.80023614</v>
      </c>
      <c r="BE56" s="14">
        <f t="shared" si="62"/>
        <v>-236611161.28193197</v>
      </c>
      <c r="BF56" s="14">
        <f t="shared" si="63"/>
        <v>-236892456.77736345</v>
      </c>
      <c r="BG56" s="14">
        <f t="shared" si="64"/>
        <v>-240836961.81576782</v>
      </c>
      <c r="BH56" s="14">
        <f t="shared" si="65"/>
        <v>-248097859.35651597</v>
      </c>
      <c r="BI56" s="14">
        <f t="shared" si="66"/>
        <v>-258306185.9101336</v>
      </c>
      <c r="BJ56" s="14">
        <f t="shared" si="22"/>
        <v>-271074229.73794615</v>
      </c>
      <c r="BK56" s="14">
        <f t="shared" si="23"/>
        <v>-285998620.43119413</v>
      </c>
      <c r="BL56" s="14">
        <f t="shared" si="24"/>
        <v>-302663184.55089301</v>
      </c>
      <c r="BM56" s="14">
        <f t="shared" si="25"/>
        <v>-320641638.11411607</v>
      </c>
      <c r="BN56" s="14">
        <f t="shared" si="26"/>
        <v>-339500175.56428277</v>
      </c>
      <c r="BO56" s="14">
        <f t="shared" si="27"/>
        <v>-358800000</v>
      </c>
      <c r="BQ56" s="21"/>
      <c r="BR56" s="1">
        <v>0</v>
      </c>
      <c r="BS56" s="14">
        <f t="shared" ref="BS56:CU56" si="121">$C$16/($C$17-$C$18*BR56)</f>
        <v>0.3415922014622258</v>
      </c>
      <c r="BT56" s="14">
        <f t="shared" si="121"/>
        <v>0.3867162803971414</v>
      </c>
      <c r="BU56" s="14">
        <f t="shared" si="121"/>
        <v>0.39358441341045353</v>
      </c>
      <c r="BV56" s="14">
        <f t="shared" si="121"/>
        <v>0.39465123071155611</v>
      </c>
      <c r="BW56" s="14">
        <f t="shared" si="121"/>
        <v>0.39481745705771337</v>
      </c>
      <c r="BX56" s="14">
        <f t="shared" si="121"/>
        <v>0.39484337025824801</v>
      </c>
      <c r="BY56" s="14">
        <f t="shared" si="121"/>
        <v>0.39484741020089792</v>
      </c>
      <c r="BZ56" s="14">
        <f t="shared" si="121"/>
        <v>0.39484804004704999</v>
      </c>
      <c r="CA56" s="14">
        <f t="shared" si="121"/>
        <v>0.39484813824322279</v>
      </c>
      <c r="CB56" s="14">
        <f t="shared" si="121"/>
        <v>0.39484815355250286</v>
      </c>
      <c r="CC56" s="14">
        <f t="shared" si="121"/>
        <v>0.39484815593929717</v>
      </c>
      <c r="CD56" s="14">
        <f t="shared" si="121"/>
        <v>0.39484815631141046</v>
      </c>
      <c r="CE56" s="14">
        <f t="shared" si="121"/>
        <v>0.39484815636942483</v>
      </c>
      <c r="CF56" s="14">
        <f t="shared" si="121"/>
        <v>0.39484815637846954</v>
      </c>
      <c r="CG56" s="14">
        <f t="shared" si="121"/>
        <v>0.39484815637987963</v>
      </c>
      <c r="CH56" s="14">
        <f t="shared" si="121"/>
        <v>0.39484815638009951</v>
      </c>
      <c r="CI56" s="14">
        <f t="shared" si="121"/>
        <v>0.39484815638013382</v>
      </c>
      <c r="CJ56" s="14">
        <f t="shared" si="121"/>
        <v>0.39484815638013915</v>
      </c>
      <c r="CK56" s="14">
        <f t="shared" si="121"/>
        <v>0.39484815638013998</v>
      </c>
      <c r="CL56" s="14">
        <f t="shared" si="121"/>
        <v>0.39484815638014015</v>
      </c>
      <c r="CM56" s="14">
        <f t="shared" si="121"/>
        <v>0.39484815638014015</v>
      </c>
      <c r="CN56" s="14">
        <f t="shared" si="121"/>
        <v>0.39484815638014015</v>
      </c>
      <c r="CO56" s="14">
        <f t="shared" si="121"/>
        <v>0.39484815638014015</v>
      </c>
      <c r="CP56" s="14">
        <f t="shared" si="121"/>
        <v>0.39484815638014015</v>
      </c>
      <c r="CQ56" s="14">
        <f t="shared" si="121"/>
        <v>0.39484815638014015</v>
      </c>
      <c r="CR56" s="14">
        <f t="shared" si="121"/>
        <v>0.39484815638014015</v>
      </c>
      <c r="CS56" s="14">
        <f t="shared" si="121"/>
        <v>0.39484815638014015</v>
      </c>
      <c r="CT56" s="14">
        <f t="shared" si="121"/>
        <v>0.39484815638014015</v>
      </c>
      <c r="CU56" s="14">
        <f t="shared" si="121"/>
        <v>0.39484815638014015</v>
      </c>
      <c r="CW56" s="23"/>
      <c r="CX56" s="1">
        <f t="shared" si="14"/>
        <v>300</v>
      </c>
      <c r="CY56" s="14">
        <f t="shared" si="15"/>
        <v>190.99660244288896</v>
      </c>
      <c r="CZ56" s="14">
        <f t="shared" si="106"/>
        <v>166.7539909660658</v>
      </c>
      <c r="DA56" s="14">
        <f t="shared" si="107"/>
        <v>152.86143350061801</v>
      </c>
      <c r="DB56" s="14">
        <f t="shared" si="108"/>
        <v>140.66339849143111</v>
      </c>
      <c r="DC56" s="14">
        <f t="shared" si="68"/>
        <v>129.03819047914067</v>
      </c>
      <c r="DD56" s="14">
        <f t="shared" si="69"/>
        <v>117.90807156369668</v>
      </c>
      <c r="DE56" s="14">
        <f t="shared" si="70"/>
        <v>107.3367533845709</v>
      </c>
      <c r="DF56" s="14">
        <f t="shared" si="71"/>
        <v>97.399229784158308</v>
      </c>
      <c r="DG56" s="14">
        <f t="shared" si="72"/>
        <v>88.162310442393192</v>
      </c>
      <c r="DH56" s="14">
        <f t="shared" si="73"/>
        <v>79.681304546148155</v>
      </c>
      <c r="DI56" s="14">
        <f t="shared" si="74"/>
        <v>71.999302704184004</v>
      </c>
      <c r="DJ56" s="14">
        <f t="shared" si="75"/>
        <v>65.147100303956606</v>
      </c>
      <c r="DK56" s="14">
        <f t="shared" si="76"/>
        <v>59.143450646374006</v>
      </c>
      <c r="DL56" s="14">
        <f t="shared" si="77"/>
        <v>53.995562183683965</v>
      </c>
      <c r="DM56" s="14">
        <f t="shared" si="78"/>
        <v>49.699781702291027</v>
      </c>
      <c r="DN56" s="14">
        <f t="shared" si="79"/>
        <v>46.242408254246016</v>
      </c>
      <c r="DO56" s="14">
        <f t="shared" si="80"/>
        <v>43.600585421490621</v>
      </c>
      <c r="DP56" s="14">
        <f t="shared" si="81"/>
        <v>41.743224978200388</v>
      </c>
      <c r="DQ56" s="14">
        <f t="shared" si="82"/>
        <v>40.63192285902808</v>
      </c>
      <c r="DR56" s="14">
        <f t="shared" si="83"/>
        <v>40.221837654286048</v>
      </c>
      <c r="DS56" s="14">
        <f t="shared" si="84"/>
        <v>40.462511661497963</v>
      </c>
      <c r="DT56" s="14">
        <f t="shared" si="85"/>
        <v>41.298623913673559</v>
      </c>
      <c r="DU56" s="14">
        <f t="shared" si="86"/>
        <v>42.670672818371195</v>
      </c>
      <c r="DV56" s="14">
        <f t="shared" si="87"/>
        <v>44.515592533278429</v>
      </c>
      <c r="DW56" s="14">
        <f t="shared" si="88"/>
        <v>46.767311678464665</v>
      </c>
      <c r="DX56" s="14">
        <f t="shared" si="89"/>
        <v>49.357265403395324</v>
      </c>
      <c r="DY56" s="14">
        <f t="shared" si="90"/>
        <v>52.214872383911008</v>
      </c>
      <c r="DZ56" s="14">
        <f t="shared" si="91"/>
        <v>55.267987406521407</v>
      </c>
      <c r="EA56" s="14">
        <f t="shared" si="92"/>
        <v>58.443338317957313</v>
      </c>
    </row>
    <row r="57" spans="5:131" x14ac:dyDescent="0.25">
      <c r="E57" s="19"/>
      <c r="F57" s="1">
        <v>300</v>
      </c>
      <c r="G57" s="6">
        <f t="shared" si="93"/>
        <v>279.60238189843892</v>
      </c>
      <c r="H57" s="6">
        <f t="shared" si="94"/>
        <v>259.39052202088476</v>
      </c>
      <c r="I57" s="6">
        <f t="shared" si="95"/>
        <v>239.54649894668285</v>
      </c>
      <c r="J57" s="6">
        <f t="shared" si="96"/>
        <v>220.2451684885815</v>
      </c>
      <c r="K57" s="6">
        <f t="shared" si="97"/>
        <v>201.65088514652408</v>
      </c>
      <c r="L57" s="6">
        <f t="shared" si="98"/>
        <v>183.91459994832263</v>
      </c>
      <c r="M57" s="6">
        <f t="shared" si="99"/>
        <v>167.1714238014286</v>
      </c>
      <c r="N57" s="6">
        <f t="shared" si="100"/>
        <v>151.53871817574765</v>
      </c>
      <c r="O57" s="6">
        <f t="shared" si="101"/>
        <v>137.11474516914933</v>
      </c>
      <c r="P57" s="6">
        <f t="shared" si="102"/>
        <v>123.97787905131746</v>
      </c>
      <c r="Q57" s="6">
        <f t="shared" si="103"/>
        <v>112.18635342884843</v>
      </c>
      <c r="R57" s="6">
        <f t="shared" si="104"/>
        <v>101.77849413799129</v>
      </c>
      <c r="S57" s="6">
        <f t="shared" si="29"/>
        <v>92.773369328193326</v>
      </c>
      <c r="T57" s="6">
        <f t="shared" si="30"/>
        <v>85.171775882257776</v>
      </c>
      <c r="U57" s="6">
        <f t="shared" si="31"/>
        <v>78.957475664875091</v>
      </c>
      <c r="V57" s="6">
        <f t="shared" si="32"/>
        <v>74.098595852212924</v>
      </c>
      <c r="W57" s="6">
        <f t="shared" si="33"/>
        <v>70.549114002070255</v>
      </c>
      <c r="X57" s="6">
        <f t="shared" si="34"/>
        <v>68.250359397994401</v>
      </c>
      <c r="Y57" s="6">
        <f t="shared" si="35"/>
        <v>67.132476096138404</v>
      </c>
      <c r="Z57" s="6">
        <f t="shared" si="36"/>
        <v>67.115808466880409</v>
      </c>
      <c r="AA57" s="6">
        <f t="shared" si="37"/>
        <v>68.112185350315229</v>
      </c>
      <c r="AB57" s="6">
        <f t="shared" si="38"/>
        <v>70.026092922154945</v>
      </c>
      <c r="AC57" s="6">
        <f t="shared" si="39"/>
        <v>72.755737982537283</v>
      </c>
      <c r="AD57" s="6">
        <f t="shared" si="40"/>
        <v>76.194011996859061</v>
      </c>
      <c r="AE57" s="6">
        <f t="shared" si="41"/>
        <v>80.229371599451582</v>
      </c>
      <c r="AF57" s="6">
        <f t="shared" si="42"/>
        <v>84.746653568698235</v>
      </c>
      <c r="AG57" s="6">
        <f t="shared" si="43"/>
        <v>89.627841977896367</v>
      </c>
      <c r="AH57" s="6">
        <f t="shared" si="11"/>
        <v>94.752803044535426</v>
      </c>
      <c r="AI57" s="1">
        <v>100</v>
      </c>
      <c r="AJ57" s="3"/>
      <c r="AK57" s="18"/>
      <c r="AL57" s="14">
        <f t="shared" si="12"/>
        <v>-1076400000</v>
      </c>
      <c r="AM57" s="14">
        <f t="shared" si="44"/>
        <v>-1002494721.9862058</v>
      </c>
      <c r="AN57" s="14">
        <f t="shared" si="45"/>
        <v>-929270179.55348575</v>
      </c>
      <c r="AO57" s="14">
        <f t="shared" si="46"/>
        <v>-857393377.56605172</v>
      </c>
      <c r="AP57" s="14">
        <f t="shared" si="47"/>
        <v>-787504382.06390262</v>
      </c>
      <c r="AQ57" s="14">
        <f t="shared" si="48"/>
        <v>-720204124.28640687</v>
      </c>
      <c r="AR57" s="14">
        <f t="shared" si="49"/>
        <v>-656043642.93869412</v>
      </c>
      <c r="AS57" s="14">
        <f t="shared" si="50"/>
        <v>-595515102.34116077</v>
      </c>
      <c r="AT57" s="14">
        <f t="shared" si="51"/>
        <v>-539044817.80439925</v>
      </c>
      <c r="AU57" s="14">
        <f t="shared" si="52"/>
        <v>-486988403.95702618</v>
      </c>
      <c r="AV57" s="14">
        <f t="shared" si="53"/>
        <v>-439628045.79576617</v>
      </c>
      <c r="AW57" s="14">
        <f t="shared" si="54"/>
        <v>-397171784.53223431</v>
      </c>
      <c r="AX57" s="14">
        <f t="shared" si="55"/>
        <v>-359754618.35368735</v>
      </c>
      <c r="AY57" s="14">
        <f t="shared" si="56"/>
        <v>-327441147.71531957</v>
      </c>
      <c r="AZ57" s="14">
        <f t="shared" si="57"/>
        <v>-300229449.28156126</v>
      </c>
      <c r="BA57" s="14">
        <f t="shared" si="58"/>
        <v>-278055843.30787015</v>
      </c>
      <c r="BB57" s="14">
        <f t="shared" si="59"/>
        <v>-260800224.95993704</v>
      </c>
      <c r="BC57" s="14">
        <f t="shared" si="60"/>
        <v>-248291657.61529395</v>
      </c>
      <c r="BD57" s="14">
        <f t="shared" si="61"/>
        <v>-240313970.80023617</v>
      </c>
      <c r="BE57" s="14">
        <f t="shared" si="62"/>
        <v>-236611161.28193197</v>
      </c>
      <c r="BF57" s="14">
        <f t="shared" si="63"/>
        <v>-236892456.77736345</v>
      </c>
      <c r="BG57" s="14">
        <f t="shared" si="64"/>
        <v>-240836961.81576788</v>
      </c>
      <c r="BH57" s="14">
        <f t="shared" si="65"/>
        <v>-248097859.35651597</v>
      </c>
      <c r="BI57" s="14">
        <f t="shared" si="66"/>
        <v>-258306185.9101336</v>
      </c>
      <c r="BJ57" s="14">
        <f t="shared" si="22"/>
        <v>-271074229.73794615</v>
      </c>
      <c r="BK57" s="14">
        <f t="shared" si="23"/>
        <v>-285998620.43119413</v>
      </c>
      <c r="BL57" s="14">
        <f t="shared" si="24"/>
        <v>-302663184.55089301</v>
      </c>
      <c r="BM57" s="14">
        <f t="shared" si="25"/>
        <v>-320641638.11411613</v>
      </c>
      <c r="BN57" s="14">
        <f t="shared" si="26"/>
        <v>-339500175.56428277</v>
      </c>
      <c r="BO57" s="14">
        <f t="shared" si="27"/>
        <v>-358800000</v>
      </c>
      <c r="BQ57" s="21"/>
      <c r="BR57" s="1">
        <v>0</v>
      </c>
      <c r="BS57" s="14">
        <f t="shared" ref="BS57:CU57" si="122">$C$16/($C$17-$C$18*BR57)</f>
        <v>0.3415922014622258</v>
      </c>
      <c r="BT57" s="14">
        <f t="shared" si="122"/>
        <v>0.3867162803971414</v>
      </c>
      <c r="BU57" s="14">
        <f t="shared" si="122"/>
        <v>0.39358441341045353</v>
      </c>
      <c r="BV57" s="14">
        <f t="shared" si="122"/>
        <v>0.39465123071155611</v>
      </c>
      <c r="BW57" s="14">
        <f t="shared" si="122"/>
        <v>0.39481745705771337</v>
      </c>
      <c r="BX57" s="14">
        <f t="shared" si="122"/>
        <v>0.39484337025824801</v>
      </c>
      <c r="BY57" s="14">
        <f t="shared" si="122"/>
        <v>0.39484741020089792</v>
      </c>
      <c r="BZ57" s="14">
        <f t="shared" si="122"/>
        <v>0.39484804004704999</v>
      </c>
      <c r="CA57" s="14">
        <f t="shared" si="122"/>
        <v>0.39484813824322279</v>
      </c>
      <c r="CB57" s="14">
        <f t="shared" si="122"/>
        <v>0.39484815355250286</v>
      </c>
      <c r="CC57" s="14">
        <f t="shared" si="122"/>
        <v>0.39484815593929717</v>
      </c>
      <c r="CD57" s="14">
        <f t="shared" si="122"/>
        <v>0.39484815631141046</v>
      </c>
      <c r="CE57" s="14">
        <f t="shared" si="122"/>
        <v>0.39484815636942483</v>
      </c>
      <c r="CF57" s="14">
        <f t="shared" si="122"/>
        <v>0.39484815637846954</v>
      </c>
      <c r="CG57" s="14">
        <f t="shared" si="122"/>
        <v>0.39484815637987963</v>
      </c>
      <c r="CH57" s="14">
        <f t="shared" si="122"/>
        <v>0.39484815638009951</v>
      </c>
      <c r="CI57" s="14">
        <f t="shared" si="122"/>
        <v>0.39484815638013382</v>
      </c>
      <c r="CJ57" s="14">
        <f t="shared" si="122"/>
        <v>0.39484815638013915</v>
      </c>
      <c r="CK57" s="14">
        <f t="shared" si="122"/>
        <v>0.39484815638013998</v>
      </c>
      <c r="CL57" s="14">
        <f t="shared" si="122"/>
        <v>0.39484815638014015</v>
      </c>
      <c r="CM57" s="14">
        <f t="shared" si="122"/>
        <v>0.39484815638014015</v>
      </c>
      <c r="CN57" s="14">
        <f t="shared" si="122"/>
        <v>0.39484815638014015</v>
      </c>
      <c r="CO57" s="14">
        <f t="shared" si="122"/>
        <v>0.39484815638014015</v>
      </c>
      <c r="CP57" s="14">
        <f t="shared" si="122"/>
        <v>0.39484815638014015</v>
      </c>
      <c r="CQ57" s="14">
        <f t="shared" si="122"/>
        <v>0.39484815638014015</v>
      </c>
      <c r="CR57" s="14">
        <f t="shared" si="122"/>
        <v>0.39484815638014015</v>
      </c>
      <c r="CS57" s="14">
        <f t="shared" si="122"/>
        <v>0.39484815638014015</v>
      </c>
      <c r="CT57" s="14">
        <f t="shared" si="122"/>
        <v>0.39484815638014015</v>
      </c>
      <c r="CU57" s="14">
        <f t="shared" si="122"/>
        <v>0.39484815638014015</v>
      </c>
      <c r="CW57" s="23"/>
      <c r="CX57" s="1">
        <f t="shared" si="14"/>
        <v>300</v>
      </c>
      <c r="CY57" s="14">
        <f t="shared" si="15"/>
        <v>190.99660244288896</v>
      </c>
      <c r="CZ57" s="14">
        <f t="shared" si="106"/>
        <v>166.7539909660658</v>
      </c>
      <c r="DA57" s="14">
        <f t="shared" si="107"/>
        <v>152.86143350061801</v>
      </c>
      <c r="DB57" s="14">
        <f t="shared" si="108"/>
        <v>140.66339849143111</v>
      </c>
      <c r="DC57" s="14">
        <f t="shared" si="68"/>
        <v>129.03819047914067</v>
      </c>
      <c r="DD57" s="14">
        <f t="shared" si="69"/>
        <v>117.90807156369668</v>
      </c>
      <c r="DE57" s="14">
        <f t="shared" si="70"/>
        <v>107.3367533845709</v>
      </c>
      <c r="DF57" s="14">
        <f t="shared" si="71"/>
        <v>97.399229784158308</v>
      </c>
      <c r="DG57" s="14">
        <f t="shared" si="72"/>
        <v>88.162310442393192</v>
      </c>
      <c r="DH57" s="14">
        <f t="shared" si="73"/>
        <v>79.681304546148155</v>
      </c>
      <c r="DI57" s="14">
        <f t="shared" si="74"/>
        <v>71.999302704184004</v>
      </c>
      <c r="DJ57" s="14">
        <f t="shared" si="75"/>
        <v>65.147100303956606</v>
      </c>
      <c r="DK57" s="14">
        <f t="shared" si="76"/>
        <v>59.143450646374006</v>
      </c>
      <c r="DL57" s="14">
        <f t="shared" si="77"/>
        <v>53.995562183683965</v>
      </c>
      <c r="DM57" s="14">
        <f t="shared" si="78"/>
        <v>49.699781702291027</v>
      </c>
      <c r="DN57" s="14">
        <f t="shared" si="79"/>
        <v>46.242408254246016</v>
      </c>
      <c r="DO57" s="14">
        <f t="shared" si="80"/>
        <v>43.600585421490621</v>
      </c>
      <c r="DP57" s="14">
        <f t="shared" si="81"/>
        <v>41.743224978200395</v>
      </c>
      <c r="DQ57" s="14">
        <f t="shared" si="82"/>
        <v>40.631922859028087</v>
      </c>
      <c r="DR57" s="14">
        <f t="shared" si="83"/>
        <v>40.221837654286048</v>
      </c>
      <c r="DS57" s="14">
        <f t="shared" si="84"/>
        <v>40.46251166149797</v>
      </c>
      <c r="DT57" s="14">
        <f t="shared" si="85"/>
        <v>41.298623913673559</v>
      </c>
      <c r="DU57" s="14">
        <f t="shared" si="86"/>
        <v>42.670672818371195</v>
      </c>
      <c r="DV57" s="14">
        <f t="shared" si="87"/>
        <v>44.515592533278429</v>
      </c>
      <c r="DW57" s="14">
        <f t="shared" si="88"/>
        <v>46.767311678464665</v>
      </c>
      <c r="DX57" s="14">
        <f t="shared" si="89"/>
        <v>49.357265403395324</v>
      </c>
      <c r="DY57" s="14">
        <f t="shared" si="90"/>
        <v>52.214872383911022</v>
      </c>
      <c r="DZ57" s="14">
        <f t="shared" si="91"/>
        <v>55.267987406521421</v>
      </c>
      <c r="EA57" s="14">
        <f t="shared" si="92"/>
        <v>58.443338317957313</v>
      </c>
    </row>
    <row r="58" spans="5:131" x14ac:dyDescent="0.25">
      <c r="E58" s="19"/>
      <c r="F58" s="1">
        <v>300</v>
      </c>
      <c r="G58" s="6">
        <f t="shared" si="93"/>
        <v>279.60238189843898</v>
      </c>
      <c r="H58" s="6">
        <f t="shared" si="94"/>
        <v>259.39052202088476</v>
      </c>
      <c r="I58" s="6">
        <f t="shared" si="95"/>
        <v>239.54649894668285</v>
      </c>
      <c r="J58" s="6">
        <f t="shared" si="96"/>
        <v>220.24516848858144</v>
      </c>
      <c r="K58" s="6">
        <f t="shared" si="97"/>
        <v>201.65088514652405</v>
      </c>
      <c r="L58" s="6">
        <f t="shared" si="98"/>
        <v>183.91459994832263</v>
      </c>
      <c r="M58" s="6">
        <f t="shared" si="99"/>
        <v>167.1714238014286</v>
      </c>
      <c r="N58" s="6">
        <f t="shared" si="100"/>
        <v>151.53871817574765</v>
      </c>
      <c r="O58" s="6">
        <f t="shared" si="101"/>
        <v>137.11474516914936</v>
      </c>
      <c r="P58" s="6">
        <f t="shared" si="102"/>
        <v>123.97787905131746</v>
      </c>
      <c r="Q58" s="6">
        <f t="shared" si="103"/>
        <v>112.18635342884843</v>
      </c>
      <c r="R58" s="6">
        <f t="shared" si="104"/>
        <v>101.7784941379913</v>
      </c>
      <c r="S58" s="6">
        <f t="shared" si="29"/>
        <v>92.77336932819334</v>
      </c>
      <c r="T58" s="6">
        <f t="shared" si="30"/>
        <v>85.171775882257776</v>
      </c>
      <c r="U58" s="6">
        <f t="shared" si="31"/>
        <v>78.957475664875091</v>
      </c>
      <c r="V58" s="6">
        <f t="shared" si="32"/>
        <v>74.098595852212924</v>
      </c>
      <c r="W58" s="6">
        <f t="shared" si="33"/>
        <v>70.549114002070255</v>
      </c>
      <c r="X58" s="6">
        <f t="shared" si="34"/>
        <v>68.250359397994401</v>
      </c>
      <c r="Y58" s="6">
        <f t="shared" si="35"/>
        <v>67.132476096138404</v>
      </c>
      <c r="Z58" s="6">
        <f t="shared" si="36"/>
        <v>67.115808466880409</v>
      </c>
      <c r="AA58" s="6">
        <f t="shared" si="37"/>
        <v>68.112185350315229</v>
      </c>
      <c r="AB58" s="6">
        <f t="shared" si="38"/>
        <v>70.026092922154945</v>
      </c>
      <c r="AC58" s="6">
        <f t="shared" si="39"/>
        <v>72.755737982537283</v>
      </c>
      <c r="AD58" s="6">
        <f t="shared" si="40"/>
        <v>76.194011996859061</v>
      </c>
      <c r="AE58" s="6">
        <f t="shared" si="41"/>
        <v>80.229371599451582</v>
      </c>
      <c r="AF58" s="6">
        <f t="shared" si="42"/>
        <v>84.746653568698235</v>
      </c>
      <c r="AG58" s="6">
        <f t="shared" si="43"/>
        <v>89.627841977896367</v>
      </c>
      <c r="AH58" s="6">
        <f t="shared" si="11"/>
        <v>94.752803044535426</v>
      </c>
      <c r="AI58" s="1">
        <v>100</v>
      </c>
      <c r="AJ58" s="3"/>
      <c r="AK58" s="18"/>
      <c r="AL58" s="14">
        <f t="shared" si="12"/>
        <v>-1076400000</v>
      </c>
      <c r="AM58" s="14">
        <f t="shared" si="44"/>
        <v>-1002494721.9862061</v>
      </c>
      <c r="AN58" s="14">
        <f t="shared" si="45"/>
        <v>-929270179.55348575</v>
      </c>
      <c r="AO58" s="14">
        <f t="shared" si="46"/>
        <v>-857393377.56605172</v>
      </c>
      <c r="AP58" s="14">
        <f t="shared" si="47"/>
        <v>-787504382.0639025</v>
      </c>
      <c r="AQ58" s="14">
        <f t="shared" si="48"/>
        <v>-720204124.28640687</v>
      </c>
      <c r="AR58" s="14">
        <f t="shared" si="49"/>
        <v>-656043642.93869412</v>
      </c>
      <c r="AS58" s="14">
        <f t="shared" si="50"/>
        <v>-595515102.34116077</v>
      </c>
      <c r="AT58" s="14">
        <f t="shared" si="51"/>
        <v>-539044817.80439925</v>
      </c>
      <c r="AU58" s="14">
        <f t="shared" si="52"/>
        <v>-486988403.9570263</v>
      </c>
      <c r="AV58" s="14">
        <f t="shared" si="53"/>
        <v>-439628045.79576623</v>
      </c>
      <c r="AW58" s="14">
        <f t="shared" si="54"/>
        <v>-397171784.53223437</v>
      </c>
      <c r="AX58" s="14">
        <f t="shared" si="55"/>
        <v>-359754618.35368735</v>
      </c>
      <c r="AY58" s="14">
        <f t="shared" si="56"/>
        <v>-327441147.71531963</v>
      </c>
      <c r="AZ58" s="14">
        <f t="shared" si="57"/>
        <v>-300229449.28156126</v>
      </c>
      <c r="BA58" s="14">
        <f t="shared" si="58"/>
        <v>-278055843.30787015</v>
      </c>
      <c r="BB58" s="14">
        <f t="shared" si="59"/>
        <v>-260800224.9599371</v>
      </c>
      <c r="BC58" s="14">
        <f t="shared" si="60"/>
        <v>-248291657.61529395</v>
      </c>
      <c r="BD58" s="14">
        <f t="shared" si="61"/>
        <v>-240313970.80023617</v>
      </c>
      <c r="BE58" s="14">
        <f t="shared" si="62"/>
        <v>-236611161.28193197</v>
      </c>
      <c r="BF58" s="14">
        <f t="shared" si="63"/>
        <v>-236892456.77736348</v>
      </c>
      <c r="BG58" s="14">
        <f t="shared" si="64"/>
        <v>-240836961.81576788</v>
      </c>
      <c r="BH58" s="14">
        <f t="shared" si="65"/>
        <v>-248097859.35651597</v>
      </c>
      <c r="BI58" s="14">
        <f t="shared" si="66"/>
        <v>-258306185.9101336</v>
      </c>
      <c r="BJ58" s="14">
        <f t="shared" si="22"/>
        <v>-271074229.73794615</v>
      </c>
      <c r="BK58" s="14">
        <f t="shared" si="23"/>
        <v>-285998620.43119413</v>
      </c>
      <c r="BL58" s="14">
        <f t="shared" si="24"/>
        <v>-302663184.55089301</v>
      </c>
      <c r="BM58" s="14">
        <f t="shared" si="25"/>
        <v>-320641638.11411613</v>
      </c>
      <c r="BN58" s="14">
        <f t="shared" si="26"/>
        <v>-339500175.56428277</v>
      </c>
      <c r="BO58" s="14">
        <f t="shared" si="27"/>
        <v>-358800000</v>
      </c>
      <c r="BQ58" s="21"/>
      <c r="BR58" s="1">
        <v>0</v>
      </c>
      <c r="BS58" s="14">
        <f t="shared" ref="BS58:CU58" si="123">$C$16/($C$17-$C$18*BR58)</f>
        <v>0.3415922014622258</v>
      </c>
      <c r="BT58" s="14">
        <f t="shared" si="123"/>
        <v>0.3867162803971414</v>
      </c>
      <c r="BU58" s="14">
        <f t="shared" si="123"/>
        <v>0.39358441341045353</v>
      </c>
      <c r="BV58" s="14">
        <f t="shared" si="123"/>
        <v>0.39465123071155611</v>
      </c>
      <c r="BW58" s="14">
        <f t="shared" si="123"/>
        <v>0.39481745705771337</v>
      </c>
      <c r="BX58" s="14">
        <f t="shared" si="123"/>
        <v>0.39484337025824801</v>
      </c>
      <c r="BY58" s="14">
        <f t="shared" si="123"/>
        <v>0.39484741020089792</v>
      </c>
      <c r="BZ58" s="14">
        <f t="shared" si="123"/>
        <v>0.39484804004704999</v>
      </c>
      <c r="CA58" s="14">
        <f t="shared" si="123"/>
        <v>0.39484813824322279</v>
      </c>
      <c r="CB58" s="14">
        <f t="shared" si="123"/>
        <v>0.39484815355250286</v>
      </c>
      <c r="CC58" s="14">
        <f t="shared" si="123"/>
        <v>0.39484815593929717</v>
      </c>
      <c r="CD58" s="14">
        <f t="shared" si="123"/>
        <v>0.39484815631141046</v>
      </c>
      <c r="CE58" s="14">
        <f t="shared" si="123"/>
        <v>0.39484815636942483</v>
      </c>
      <c r="CF58" s="14">
        <f t="shared" si="123"/>
        <v>0.39484815637846954</v>
      </c>
      <c r="CG58" s="14">
        <f t="shared" si="123"/>
        <v>0.39484815637987963</v>
      </c>
      <c r="CH58" s="14">
        <f t="shared" si="123"/>
        <v>0.39484815638009951</v>
      </c>
      <c r="CI58" s="14">
        <f t="shared" si="123"/>
        <v>0.39484815638013382</v>
      </c>
      <c r="CJ58" s="14">
        <f t="shared" si="123"/>
        <v>0.39484815638013915</v>
      </c>
      <c r="CK58" s="14">
        <f t="shared" si="123"/>
        <v>0.39484815638013998</v>
      </c>
      <c r="CL58" s="14">
        <f t="shared" si="123"/>
        <v>0.39484815638014015</v>
      </c>
      <c r="CM58" s="14">
        <f t="shared" si="123"/>
        <v>0.39484815638014015</v>
      </c>
      <c r="CN58" s="14">
        <f t="shared" si="123"/>
        <v>0.39484815638014015</v>
      </c>
      <c r="CO58" s="14">
        <f t="shared" si="123"/>
        <v>0.39484815638014015</v>
      </c>
      <c r="CP58" s="14">
        <f t="shared" si="123"/>
        <v>0.39484815638014015</v>
      </c>
      <c r="CQ58" s="14">
        <f t="shared" si="123"/>
        <v>0.39484815638014015</v>
      </c>
      <c r="CR58" s="14">
        <f t="shared" si="123"/>
        <v>0.39484815638014015</v>
      </c>
      <c r="CS58" s="14">
        <f t="shared" si="123"/>
        <v>0.39484815638014015</v>
      </c>
      <c r="CT58" s="14">
        <f t="shared" si="123"/>
        <v>0.39484815638014015</v>
      </c>
      <c r="CU58" s="14">
        <f t="shared" si="123"/>
        <v>0.39484815638014015</v>
      </c>
      <c r="CW58" s="23"/>
      <c r="CX58" s="1">
        <f t="shared" si="14"/>
        <v>300</v>
      </c>
      <c r="CY58" s="14">
        <f t="shared" si="15"/>
        <v>190.99660244288899</v>
      </c>
      <c r="CZ58" s="14">
        <f t="shared" si="106"/>
        <v>166.7539909660658</v>
      </c>
      <c r="DA58" s="14">
        <f t="shared" si="107"/>
        <v>152.86143350061801</v>
      </c>
      <c r="DB58" s="14">
        <f t="shared" si="108"/>
        <v>140.66339849143108</v>
      </c>
      <c r="DC58" s="14">
        <f t="shared" si="68"/>
        <v>129.03819047914064</v>
      </c>
      <c r="DD58" s="14">
        <f t="shared" si="69"/>
        <v>117.90807156369668</v>
      </c>
      <c r="DE58" s="14">
        <f t="shared" si="70"/>
        <v>107.3367533845709</v>
      </c>
      <c r="DF58" s="14">
        <f t="shared" si="71"/>
        <v>97.399229784158308</v>
      </c>
      <c r="DG58" s="14">
        <f t="shared" si="72"/>
        <v>88.162310442393206</v>
      </c>
      <c r="DH58" s="14">
        <f t="shared" si="73"/>
        <v>79.681304546148155</v>
      </c>
      <c r="DI58" s="14">
        <f t="shared" si="74"/>
        <v>71.999302704184004</v>
      </c>
      <c r="DJ58" s="14">
        <f t="shared" si="75"/>
        <v>65.147100303956606</v>
      </c>
      <c r="DK58" s="14">
        <f t="shared" si="76"/>
        <v>59.143450646374014</v>
      </c>
      <c r="DL58" s="14">
        <f t="shared" si="77"/>
        <v>53.995562183683973</v>
      </c>
      <c r="DM58" s="14">
        <f t="shared" si="78"/>
        <v>49.699781702291027</v>
      </c>
      <c r="DN58" s="14">
        <f t="shared" si="79"/>
        <v>46.242408254246023</v>
      </c>
      <c r="DO58" s="14">
        <f t="shared" si="80"/>
        <v>43.600585421490628</v>
      </c>
      <c r="DP58" s="14">
        <f t="shared" si="81"/>
        <v>41.743224978200395</v>
      </c>
      <c r="DQ58" s="14">
        <f t="shared" si="82"/>
        <v>40.631922859028087</v>
      </c>
      <c r="DR58" s="14">
        <f t="shared" si="83"/>
        <v>40.221837654286055</v>
      </c>
      <c r="DS58" s="14">
        <f t="shared" si="84"/>
        <v>40.462511661497977</v>
      </c>
      <c r="DT58" s="14">
        <f t="shared" si="85"/>
        <v>41.298623913673566</v>
      </c>
      <c r="DU58" s="14">
        <f t="shared" si="86"/>
        <v>42.670672818371195</v>
      </c>
      <c r="DV58" s="14">
        <f t="shared" si="87"/>
        <v>44.515592533278429</v>
      </c>
      <c r="DW58" s="14">
        <f t="shared" si="88"/>
        <v>46.767311678464665</v>
      </c>
      <c r="DX58" s="14">
        <f t="shared" si="89"/>
        <v>49.357265403395324</v>
      </c>
      <c r="DY58" s="14">
        <f t="shared" si="90"/>
        <v>52.214872383911022</v>
      </c>
      <c r="DZ58" s="14">
        <f t="shared" si="91"/>
        <v>55.267987406521421</v>
      </c>
      <c r="EA58" s="14">
        <f t="shared" si="92"/>
        <v>58.443338317957313</v>
      </c>
    </row>
    <row r="59" spans="5:131" x14ac:dyDescent="0.25">
      <c r="E59" s="19"/>
      <c r="F59" s="1">
        <v>300</v>
      </c>
      <c r="G59" s="6">
        <f t="shared" si="93"/>
        <v>279.60238189843898</v>
      </c>
      <c r="H59" s="6">
        <f t="shared" si="94"/>
        <v>259.39052202088476</v>
      </c>
      <c r="I59" s="6">
        <f t="shared" si="95"/>
        <v>239.5464989466829</v>
      </c>
      <c r="J59" s="6">
        <f t="shared" si="96"/>
        <v>220.2451684885815</v>
      </c>
      <c r="K59" s="6">
        <f t="shared" si="97"/>
        <v>201.65088514652408</v>
      </c>
      <c r="L59" s="6">
        <f t="shared" si="98"/>
        <v>183.91459994832263</v>
      </c>
      <c r="M59" s="6">
        <f t="shared" si="99"/>
        <v>167.1714238014286</v>
      </c>
      <c r="N59" s="6">
        <f t="shared" si="100"/>
        <v>151.53871817574768</v>
      </c>
      <c r="O59" s="6">
        <f t="shared" si="101"/>
        <v>137.11474516914939</v>
      </c>
      <c r="P59" s="6">
        <f t="shared" si="102"/>
        <v>123.9778790513175</v>
      </c>
      <c r="Q59" s="6">
        <f t="shared" si="103"/>
        <v>112.18635342884845</v>
      </c>
      <c r="R59" s="6">
        <f t="shared" si="104"/>
        <v>101.7784941379913</v>
      </c>
      <c r="S59" s="6">
        <f t="shared" si="29"/>
        <v>92.77336932819334</v>
      </c>
      <c r="T59" s="6">
        <f t="shared" si="30"/>
        <v>85.171775882257776</v>
      </c>
      <c r="U59" s="6">
        <f t="shared" si="31"/>
        <v>78.957475664875105</v>
      </c>
      <c r="V59" s="6">
        <f t="shared" si="32"/>
        <v>74.098595852212938</v>
      </c>
      <c r="W59" s="6">
        <f t="shared" si="33"/>
        <v>70.549114002070269</v>
      </c>
      <c r="X59" s="6">
        <f t="shared" si="34"/>
        <v>68.250359397994416</v>
      </c>
      <c r="Y59" s="6">
        <f t="shared" si="35"/>
        <v>67.132476096138419</v>
      </c>
      <c r="Z59" s="6">
        <f t="shared" si="36"/>
        <v>67.115808466880424</v>
      </c>
      <c r="AA59" s="6">
        <f t="shared" si="37"/>
        <v>68.112185350315229</v>
      </c>
      <c r="AB59" s="6">
        <f t="shared" si="38"/>
        <v>70.026092922154945</v>
      </c>
      <c r="AC59" s="6">
        <f t="shared" si="39"/>
        <v>72.755737982537283</v>
      </c>
      <c r="AD59" s="6">
        <f t="shared" si="40"/>
        <v>76.194011996859061</v>
      </c>
      <c r="AE59" s="6">
        <f t="shared" si="41"/>
        <v>80.229371599451582</v>
      </c>
      <c r="AF59" s="6">
        <f t="shared" si="42"/>
        <v>84.746653568698235</v>
      </c>
      <c r="AG59" s="6">
        <f t="shared" si="43"/>
        <v>89.627841977896367</v>
      </c>
      <c r="AH59" s="6">
        <f t="shared" si="11"/>
        <v>94.752803044535426</v>
      </c>
      <c r="AI59" s="1">
        <v>100</v>
      </c>
      <c r="AJ59" s="3"/>
      <c r="AK59" s="18"/>
      <c r="AL59" s="14">
        <f t="shared" si="12"/>
        <v>-1076400000</v>
      </c>
      <c r="AM59" s="14">
        <f t="shared" si="44"/>
        <v>-1002494721.9862063</v>
      </c>
      <c r="AN59" s="14">
        <f t="shared" si="45"/>
        <v>-929270179.55348611</v>
      </c>
      <c r="AO59" s="14">
        <f t="shared" si="46"/>
        <v>-857393377.56605184</v>
      </c>
      <c r="AP59" s="14">
        <f t="shared" si="47"/>
        <v>-787504382.06390262</v>
      </c>
      <c r="AQ59" s="14">
        <f t="shared" si="48"/>
        <v>-720204124.28640699</v>
      </c>
      <c r="AR59" s="14">
        <f t="shared" si="49"/>
        <v>-656043642.93869412</v>
      </c>
      <c r="AS59" s="14">
        <f t="shared" si="50"/>
        <v>-595515102.34116101</v>
      </c>
      <c r="AT59" s="14">
        <f t="shared" si="51"/>
        <v>-539044817.80439937</v>
      </c>
      <c r="AU59" s="14">
        <f t="shared" si="52"/>
        <v>-486988403.9570263</v>
      </c>
      <c r="AV59" s="14">
        <f t="shared" si="53"/>
        <v>-439628045.79576635</v>
      </c>
      <c r="AW59" s="14">
        <f t="shared" si="54"/>
        <v>-397171784.53223437</v>
      </c>
      <c r="AX59" s="14">
        <f t="shared" si="55"/>
        <v>-359754618.35368735</v>
      </c>
      <c r="AY59" s="14">
        <f t="shared" si="56"/>
        <v>-327441147.71531963</v>
      </c>
      <c r="AZ59" s="14">
        <f t="shared" si="57"/>
        <v>-300229449.28156126</v>
      </c>
      <c r="BA59" s="14">
        <f t="shared" si="58"/>
        <v>-278055843.30787015</v>
      </c>
      <c r="BB59" s="14">
        <f t="shared" si="59"/>
        <v>-260800224.95993716</v>
      </c>
      <c r="BC59" s="14">
        <f t="shared" si="60"/>
        <v>-248291657.61529395</v>
      </c>
      <c r="BD59" s="14">
        <f t="shared" si="61"/>
        <v>-240313970.80023617</v>
      </c>
      <c r="BE59" s="14">
        <f t="shared" si="62"/>
        <v>-236611161.28193203</v>
      </c>
      <c r="BF59" s="14">
        <f t="shared" si="63"/>
        <v>-236892456.77736354</v>
      </c>
      <c r="BG59" s="14">
        <f t="shared" si="64"/>
        <v>-240836961.81576794</v>
      </c>
      <c r="BH59" s="14">
        <f t="shared" si="65"/>
        <v>-248097859.35651597</v>
      </c>
      <c r="BI59" s="14">
        <f t="shared" si="66"/>
        <v>-258306185.9101336</v>
      </c>
      <c r="BJ59" s="14">
        <f t="shared" si="22"/>
        <v>-271074229.73794615</v>
      </c>
      <c r="BK59" s="14">
        <f t="shared" si="23"/>
        <v>-285998620.43119413</v>
      </c>
      <c r="BL59" s="14">
        <f t="shared" si="24"/>
        <v>-302663184.55089307</v>
      </c>
      <c r="BM59" s="14">
        <f t="shared" si="25"/>
        <v>-320641638.11411619</v>
      </c>
      <c r="BN59" s="14">
        <f t="shared" si="26"/>
        <v>-339500175.56428277</v>
      </c>
      <c r="BO59" s="14">
        <f t="shared" si="27"/>
        <v>-358800000</v>
      </c>
      <c r="BQ59" s="21"/>
      <c r="BR59" s="1">
        <v>0</v>
      </c>
      <c r="BS59" s="14">
        <f t="shared" ref="BS59:CU59" si="124">$C$16/($C$17-$C$18*BR59)</f>
        <v>0.3415922014622258</v>
      </c>
      <c r="BT59" s="14">
        <f t="shared" si="124"/>
        <v>0.3867162803971414</v>
      </c>
      <c r="BU59" s="14">
        <f t="shared" si="124"/>
        <v>0.39358441341045353</v>
      </c>
      <c r="BV59" s="14">
        <f t="shared" si="124"/>
        <v>0.39465123071155611</v>
      </c>
      <c r="BW59" s="14">
        <f t="shared" si="124"/>
        <v>0.39481745705771337</v>
      </c>
      <c r="BX59" s="14">
        <f t="shared" si="124"/>
        <v>0.39484337025824801</v>
      </c>
      <c r="BY59" s="14">
        <f t="shared" si="124"/>
        <v>0.39484741020089792</v>
      </c>
      <c r="BZ59" s="14">
        <f t="shared" si="124"/>
        <v>0.39484804004704999</v>
      </c>
      <c r="CA59" s="14">
        <f t="shared" si="124"/>
        <v>0.39484813824322279</v>
      </c>
      <c r="CB59" s="14">
        <f t="shared" si="124"/>
        <v>0.39484815355250286</v>
      </c>
      <c r="CC59" s="14">
        <f t="shared" si="124"/>
        <v>0.39484815593929717</v>
      </c>
      <c r="CD59" s="14">
        <f t="shared" si="124"/>
        <v>0.39484815631141046</v>
      </c>
      <c r="CE59" s="14">
        <f t="shared" si="124"/>
        <v>0.39484815636942483</v>
      </c>
      <c r="CF59" s="14">
        <f t="shared" si="124"/>
        <v>0.39484815637846954</v>
      </c>
      <c r="CG59" s="14">
        <f t="shared" si="124"/>
        <v>0.39484815637987963</v>
      </c>
      <c r="CH59" s="14">
        <f t="shared" si="124"/>
        <v>0.39484815638009951</v>
      </c>
      <c r="CI59" s="14">
        <f t="shared" si="124"/>
        <v>0.39484815638013382</v>
      </c>
      <c r="CJ59" s="14">
        <f t="shared" si="124"/>
        <v>0.39484815638013915</v>
      </c>
      <c r="CK59" s="14">
        <f t="shared" si="124"/>
        <v>0.39484815638013998</v>
      </c>
      <c r="CL59" s="14">
        <f t="shared" si="124"/>
        <v>0.39484815638014015</v>
      </c>
      <c r="CM59" s="14">
        <f t="shared" si="124"/>
        <v>0.39484815638014015</v>
      </c>
      <c r="CN59" s="14">
        <f t="shared" si="124"/>
        <v>0.39484815638014015</v>
      </c>
      <c r="CO59" s="14">
        <f t="shared" si="124"/>
        <v>0.39484815638014015</v>
      </c>
      <c r="CP59" s="14">
        <f t="shared" si="124"/>
        <v>0.39484815638014015</v>
      </c>
      <c r="CQ59" s="14">
        <f t="shared" si="124"/>
        <v>0.39484815638014015</v>
      </c>
      <c r="CR59" s="14">
        <f t="shared" si="124"/>
        <v>0.39484815638014015</v>
      </c>
      <c r="CS59" s="14">
        <f t="shared" si="124"/>
        <v>0.39484815638014015</v>
      </c>
      <c r="CT59" s="14">
        <f t="shared" si="124"/>
        <v>0.39484815638014015</v>
      </c>
      <c r="CU59" s="14">
        <f t="shared" si="124"/>
        <v>0.39484815638014015</v>
      </c>
      <c r="CW59" s="23"/>
      <c r="CX59" s="1">
        <f t="shared" si="14"/>
        <v>300</v>
      </c>
      <c r="CY59" s="14">
        <f t="shared" si="15"/>
        <v>190.99660244288899</v>
      </c>
      <c r="CZ59" s="14">
        <f t="shared" si="106"/>
        <v>166.75399096606583</v>
      </c>
      <c r="DA59" s="14">
        <f t="shared" si="107"/>
        <v>152.86143350061803</v>
      </c>
      <c r="DB59" s="14">
        <f t="shared" si="108"/>
        <v>140.66339849143111</v>
      </c>
      <c r="DC59" s="14">
        <f t="shared" si="68"/>
        <v>129.03819047914067</v>
      </c>
      <c r="DD59" s="14">
        <f t="shared" si="69"/>
        <v>117.90807156369668</v>
      </c>
      <c r="DE59" s="14">
        <f t="shared" si="70"/>
        <v>107.33675338457091</v>
      </c>
      <c r="DF59" s="14">
        <f t="shared" si="71"/>
        <v>97.399229784158322</v>
      </c>
      <c r="DG59" s="14">
        <f t="shared" si="72"/>
        <v>88.16231044239322</v>
      </c>
      <c r="DH59" s="14">
        <f t="shared" si="73"/>
        <v>79.681304546148183</v>
      </c>
      <c r="DI59" s="14">
        <f t="shared" si="74"/>
        <v>71.999302704184018</v>
      </c>
      <c r="DJ59" s="14">
        <f t="shared" si="75"/>
        <v>65.147100303956606</v>
      </c>
      <c r="DK59" s="14">
        <f t="shared" si="76"/>
        <v>59.143450646374014</v>
      </c>
      <c r="DL59" s="14">
        <f t="shared" si="77"/>
        <v>53.995562183683973</v>
      </c>
      <c r="DM59" s="14">
        <f t="shared" si="78"/>
        <v>49.699781702291027</v>
      </c>
      <c r="DN59" s="14">
        <f t="shared" si="79"/>
        <v>46.24240825424603</v>
      </c>
      <c r="DO59" s="14">
        <f t="shared" si="80"/>
        <v>43.600585421490628</v>
      </c>
      <c r="DP59" s="14">
        <f t="shared" si="81"/>
        <v>41.743224978200395</v>
      </c>
      <c r="DQ59" s="14">
        <f t="shared" si="82"/>
        <v>40.631922859028087</v>
      </c>
      <c r="DR59" s="14">
        <f t="shared" si="83"/>
        <v>40.221837654286063</v>
      </c>
      <c r="DS59" s="14">
        <f t="shared" si="84"/>
        <v>40.462511661497977</v>
      </c>
      <c r="DT59" s="14">
        <f t="shared" si="85"/>
        <v>41.298623913673566</v>
      </c>
      <c r="DU59" s="14">
        <f t="shared" si="86"/>
        <v>42.670672818371195</v>
      </c>
      <c r="DV59" s="14">
        <f t="shared" si="87"/>
        <v>44.515592533278429</v>
      </c>
      <c r="DW59" s="14">
        <f t="shared" si="88"/>
        <v>46.767311678464665</v>
      </c>
      <c r="DX59" s="14">
        <f t="shared" si="89"/>
        <v>49.357265403395331</v>
      </c>
      <c r="DY59" s="14">
        <f t="shared" si="90"/>
        <v>52.214872383911029</v>
      </c>
      <c r="DZ59" s="14">
        <f t="shared" si="91"/>
        <v>55.267987406521421</v>
      </c>
      <c r="EA59" s="14">
        <f t="shared" si="92"/>
        <v>58.443338317957313</v>
      </c>
    </row>
    <row r="60" spans="5:131" x14ac:dyDescent="0.25">
      <c r="E60" s="19"/>
      <c r="F60" s="1">
        <v>300</v>
      </c>
      <c r="G60" s="6">
        <f t="shared" si="93"/>
        <v>279.60238189843898</v>
      </c>
      <c r="H60" s="6">
        <f t="shared" si="94"/>
        <v>259.39052202088476</v>
      </c>
      <c r="I60" s="6">
        <f t="shared" si="95"/>
        <v>239.5464989466829</v>
      </c>
      <c r="J60" s="6">
        <f t="shared" si="96"/>
        <v>220.2451684885815</v>
      </c>
      <c r="K60" s="6">
        <f t="shared" si="97"/>
        <v>201.65088514652408</v>
      </c>
      <c r="L60" s="6">
        <f t="shared" si="98"/>
        <v>183.91459994832263</v>
      </c>
      <c r="M60" s="6">
        <f t="shared" si="99"/>
        <v>167.1714238014286</v>
      </c>
      <c r="N60" s="6">
        <f t="shared" si="100"/>
        <v>151.53871817574768</v>
      </c>
      <c r="O60" s="6">
        <f t="shared" si="101"/>
        <v>137.11474516914939</v>
      </c>
      <c r="P60" s="6">
        <f t="shared" si="102"/>
        <v>123.9778790513175</v>
      </c>
      <c r="Q60" s="6">
        <f t="shared" si="103"/>
        <v>112.18635342884845</v>
      </c>
      <c r="R60" s="6">
        <f t="shared" si="104"/>
        <v>101.7784941379913</v>
      </c>
      <c r="S60" s="6">
        <f t="shared" si="29"/>
        <v>92.77336932819334</v>
      </c>
      <c r="T60" s="6">
        <f t="shared" si="30"/>
        <v>85.171775882257776</v>
      </c>
      <c r="U60" s="6">
        <f t="shared" si="31"/>
        <v>78.957475664875105</v>
      </c>
      <c r="V60" s="6">
        <f t="shared" si="32"/>
        <v>74.098595852212938</v>
      </c>
      <c r="W60" s="6">
        <f t="shared" si="33"/>
        <v>70.549114002070269</v>
      </c>
      <c r="X60" s="6">
        <f t="shared" si="34"/>
        <v>68.250359397994416</v>
      </c>
      <c r="Y60" s="6">
        <f t="shared" si="35"/>
        <v>67.132476096138419</v>
      </c>
      <c r="Z60" s="6">
        <f t="shared" si="36"/>
        <v>67.115808466880424</v>
      </c>
      <c r="AA60" s="6">
        <f t="shared" si="37"/>
        <v>68.112185350315229</v>
      </c>
      <c r="AB60" s="6">
        <f t="shared" si="38"/>
        <v>70.026092922154945</v>
      </c>
      <c r="AC60" s="6">
        <f t="shared" si="39"/>
        <v>72.755737982537283</v>
      </c>
      <c r="AD60" s="6">
        <f t="shared" si="40"/>
        <v>76.194011996859061</v>
      </c>
      <c r="AE60" s="6">
        <f t="shared" si="41"/>
        <v>80.229371599451582</v>
      </c>
      <c r="AF60" s="6">
        <f t="shared" si="42"/>
        <v>84.746653568698235</v>
      </c>
      <c r="AG60" s="6">
        <f t="shared" si="43"/>
        <v>89.627841977896367</v>
      </c>
      <c r="AH60" s="6">
        <f t="shared" si="11"/>
        <v>94.752803044535426</v>
      </c>
      <c r="AI60" s="1">
        <v>100</v>
      </c>
      <c r="AJ60" s="3"/>
      <c r="AK60" s="18"/>
      <c r="AL60" s="14">
        <f t="shared" si="12"/>
        <v>-1076400000</v>
      </c>
      <c r="AM60" s="14">
        <f t="shared" si="44"/>
        <v>-1002494721.9862063</v>
      </c>
      <c r="AN60" s="14">
        <f t="shared" si="45"/>
        <v>-929270179.55348611</v>
      </c>
      <c r="AO60" s="14">
        <f t="shared" si="46"/>
        <v>-857393377.56605184</v>
      </c>
      <c r="AP60" s="14">
        <f t="shared" si="47"/>
        <v>-787504382.06390262</v>
      </c>
      <c r="AQ60" s="14">
        <f t="shared" si="48"/>
        <v>-720204124.28640699</v>
      </c>
      <c r="AR60" s="14">
        <f t="shared" si="49"/>
        <v>-656043642.93869412</v>
      </c>
      <c r="AS60" s="14">
        <f t="shared" si="50"/>
        <v>-595515102.34116101</v>
      </c>
      <c r="AT60" s="14">
        <f t="shared" si="51"/>
        <v>-539044817.80439937</v>
      </c>
      <c r="AU60" s="14">
        <f t="shared" si="52"/>
        <v>-486988403.9570263</v>
      </c>
      <c r="AV60" s="14">
        <f t="shared" si="53"/>
        <v>-439628045.79576629</v>
      </c>
      <c r="AW60" s="14">
        <f t="shared" si="54"/>
        <v>-397171784.53223437</v>
      </c>
      <c r="AX60" s="14">
        <f t="shared" si="55"/>
        <v>-359754618.35368735</v>
      </c>
      <c r="AY60" s="14">
        <f t="shared" si="56"/>
        <v>-327441147.71531963</v>
      </c>
      <c r="AZ60" s="14">
        <f t="shared" si="57"/>
        <v>-300229449.28156126</v>
      </c>
      <c r="BA60" s="14">
        <f t="shared" si="58"/>
        <v>-278055843.30787015</v>
      </c>
      <c r="BB60" s="14">
        <f t="shared" si="59"/>
        <v>-260800224.95993716</v>
      </c>
      <c r="BC60" s="14">
        <f t="shared" si="60"/>
        <v>-248291657.61529395</v>
      </c>
      <c r="BD60" s="14">
        <f t="shared" si="61"/>
        <v>-240313970.80023617</v>
      </c>
      <c r="BE60" s="14">
        <f t="shared" si="62"/>
        <v>-236611161.28193203</v>
      </c>
      <c r="BF60" s="14">
        <f t="shared" si="63"/>
        <v>-236892456.77736354</v>
      </c>
      <c r="BG60" s="14">
        <f t="shared" si="64"/>
        <v>-240836961.81576794</v>
      </c>
      <c r="BH60" s="14">
        <f t="shared" si="65"/>
        <v>-248097859.35651597</v>
      </c>
      <c r="BI60" s="14">
        <f t="shared" si="66"/>
        <v>-258306185.9101336</v>
      </c>
      <c r="BJ60" s="14">
        <f t="shared" si="22"/>
        <v>-271074229.73794615</v>
      </c>
      <c r="BK60" s="14">
        <f t="shared" si="23"/>
        <v>-285998620.43119413</v>
      </c>
      <c r="BL60" s="14">
        <f t="shared" si="24"/>
        <v>-302663184.55089301</v>
      </c>
      <c r="BM60" s="14">
        <f t="shared" si="25"/>
        <v>-320641638.11411619</v>
      </c>
      <c r="BN60" s="14">
        <f t="shared" si="26"/>
        <v>-339500175.56428277</v>
      </c>
      <c r="BO60" s="14">
        <f t="shared" si="27"/>
        <v>-358800000</v>
      </c>
      <c r="BQ60" s="21"/>
      <c r="BR60" s="1">
        <v>0</v>
      </c>
      <c r="BS60" s="14">
        <f t="shared" ref="BS60:CU60" si="125">$C$16/($C$17-$C$18*BR60)</f>
        <v>0.3415922014622258</v>
      </c>
      <c r="BT60" s="14">
        <f t="shared" si="125"/>
        <v>0.3867162803971414</v>
      </c>
      <c r="BU60" s="14">
        <f t="shared" si="125"/>
        <v>0.39358441341045353</v>
      </c>
      <c r="BV60" s="14">
        <f t="shared" si="125"/>
        <v>0.39465123071155611</v>
      </c>
      <c r="BW60" s="14">
        <f t="shared" si="125"/>
        <v>0.39481745705771337</v>
      </c>
      <c r="BX60" s="14">
        <f t="shared" si="125"/>
        <v>0.39484337025824801</v>
      </c>
      <c r="BY60" s="14">
        <f t="shared" si="125"/>
        <v>0.39484741020089792</v>
      </c>
      <c r="BZ60" s="14">
        <f t="shared" si="125"/>
        <v>0.39484804004704999</v>
      </c>
      <c r="CA60" s="14">
        <f t="shared" si="125"/>
        <v>0.39484813824322279</v>
      </c>
      <c r="CB60" s="14">
        <f t="shared" si="125"/>
        <v>0.39484815355250286</v>
      </c>
      <c r="CC60" s="14">
        <f t="shared" si="125"/>
        <v>0.39484815593929717</v>
      </c>
      <c r="CD60" s="14">
        <f t="shared" si="125"/>
        <v>0.39484815631141046</v>
      </c>
      <c r="CE60" s="14">
        <f t="shared" si="125"/>
        <v>0.39484815636942483</v>
      </c>
      <c r="CF60" s="14">
        <f t="shared" si="125"/>
        <v>0.39484815637846954</v>
      </c>
      <c r="CG60" s="14">
        <f t="shared" si="125"/>
        <v>0.39484815637987963</v>
      </c>
      <c r="CH60" s="14">
        <f t="shared" si="125"/>
        <v>0.39484815638009951</v>
      </c>
      <c r="CI60" s="14">
        <f t="shared" si="125"/>
        <v>0.39484815638013382</v>
      </c>
      <c r="CJ60" s="14">
        <f t="shared" si="125"/>
        <v>0.39484815638013915</v>
      </c>
      <c r="CK60" s="14">
        <f t="shared" si="125"/>
        <v>0.39484815638013998</v>
      </c>
      <c r="CL60" s="14">
        <f t="shared" si="125"/>
        <v>0.39484815638014015</v>
      </c>
      <c r="CM60" s="14">
        <f t="shared" si="125"/>
        <v>0.39484815638014015</v>
      </c>
      <c r="CN60" s="14">
        <f t="shared" si="125"/>
        <v>0.39484815638014015</v>
      </c>
      <c r="CO60" s="14">
        <f t="shared" si="125"/>
        <v>0.39484815638014015</v>
      </c>
      <c r="CP60" s="14">
        <f t="shared" si="125"/>
        <v>0.39484815638014015</v>
      </c>
      <c r="CQ60" s="14">
        <f t="shared" si="125"/>
        <v>0.39484815638014015</v>
      </c>
      <c r="CR60" s="14">
        <f t="shared" si="125"/>
        <v>0.39484815638014015</v>
      </c>
      <c r="CS60" s="14">
        <f t="shared" si="125"/>
        <v>0.39484815638014015</v>
      </c>
      <c r="CT60" s="14">
        <f t="shared" si="125"/>
        <v>0.39484815638014015</v>
      </c>
      <c r="CU60" s="14">
        <f t="shared" si="125"/>
        <v>0.39484815638014015</v>
      </c>
      <c r="CW60" s="23"/>
      <c r="CX60" s="1">
        <f t="shared" si="14"/>
        <v>300</v>
      </c>
      <c r="CY60" s="14">
        <f t="shared" si="15"/>
        <v>190.99660244288899</v>
      </c>
      <c r="CZ60" s="14">
        <f t="shared" si="106"/>
        <v>166.75399096606583</v>
      </c>
      <c r="DA60" s="14">
        <f t="shared" si="107"/>
        <v>152.86143350061803</v>
      </c>
      <c r="DB60" s="14">
        <f t="shared" si="108"/>
        <v>140.66339849143111</v>
      </c>
      <c r="DC60" s="14">
        <f t="shared" si="68"/>
        <v>129.03819047914067</v>
      </c>
      <c r="DD60" s="14">
        <f t="shared" si="69"/>
        <v>117.90807156369668</v>
      </c>
      <c r="DE60" s="14">
        <f t="shared" si="70"/>
        <v>107.33675338457091</v>
      </c>
      <c r="DF60" s="14">
        <f t="shared" si="71"/>
        <v>97.399229784158322</v>
      </c>
      <c r="DG60" s="14">
        <f t="shared" si="72"/>
        <v>88.16231044239322</v>
      </c>
      <c r="DH60" s="14">
        <f t="shared" si="73"/>
        <v>79.681304546148183</v>
      </c>
      <c r="DI60" s="14">
        <f t="shared" si="74"/>
        <v>71.999302704184018</v>
      </c>
      <c r="DJ60" s="14">
        <f t="shared" si="75"/>
        <v>65.147100303956606</v>
      </c>
      <c r="DK60" s="14">
        <f t="shared" si="76"/>
        <v>59.143450646374014</v>
      </c>
      <c r="DL60" s="14">
        <f t="shared" si="77"/>
        <v>53.995562183683973</v>
      </c>
      <c r="DM60" s="14">
        <f t="shared" si="78"/>
        <v>49.699781702291027</v>
      </c>
      <c r="DN60" s="14">
        <f t="shared" si="79"/>
        <v>46.24240825424603</v>
      </c>
      <c r="DO60" s="14">
        <f t="shared" si="80"/>
        <v>43.600585421490628</v>
      </c>
      <c r="DP60" s="14">
        <f t="shared" si="81"/>
        <v>41.743224978200395</v>
      </c>
      <c r="DQ60" s="14">
        <f t="shared" si="82"/>
        <v>40.631922859028087</v>
      </c>
      <c r="DR60" s="14">
        <f t="shared" si="83"/>
        <v>40.221837654286063</v>
      </c>
      <c r="DS60" s="14">
        <f t="shared" si="84"/>
        <v>40.462511661497977</v>
      </c>
      <c r="DT60" s="14">
        <f t="shared" si="85"/>
        <v>41.298623913673566</v>
      </c>
      <c r="DU60" s="14">
        <f t="shared" si="86"/>
        <v>42.670672818371195</v>
      </c>
      <c r="DV60" s="14">
        <f t="shared" si="87"/>
        <v>44.515592533278429</v>
      </c>
      <c r="DW60" s="14">
        <f t="shared" si="88"/>
        <v>46.767311678464665</v>
      </c>
      <c r="DX60" s="14">
        <f t="shared" si="89"/>
        <v>49.357265403395324</v>
      </c>
      <c r="DY60" s="14">
        <f t="shared" si="90"/>
        <v>52.214872383911022</v>
      </c>
      <c r="DZ60" s="14">
        <f t="shared" si="91"/>
        <v>55.267987406521421</v>
      </c>
      <c r="EA60" s="14">
        <f t="shared" si="92"/>
        <v>58.443338317957313</v>
      </c>
    </row>
    <row r="61" spans="5:131" x14ac:dyDescent="0.25">
      <c r="E61" s="19"/>
      <c r="F61" s="1">
        <v>300</v>
      </c>
      <c r="G61" s="6">
        <f t="shared" si="93"/>
        <v>279.60238189843898</v>
      </c>
      <c r="H61" s="6">
        <f t="shared" si="94"/>
        <v>259.39052202088476</v>
      </c>
      <c r="I61" s="6">
        <f t="shared" si="95"/>
        <v>239.5464989466829</v>
      </c>
      <c r="J61" s="6">
        <f t="shared" si="96"/>
        <v>220.2451684885815</v>
      </c>
      <c r="K61" s="6">
        <f t="shared" si="97"/>
        <v>201.65088514652408</v>
      </c>
      <c r="L61" s="6">
        <f t="shared" si="98"/>
        <v>183.91459994832263</v>
      </c>
      <c r="M61" s="6">
        <f t="shared" si="99"/>
        <v>167.1714238014286</v>
      </c>
      <c r="N61" s="6">
        <f t="shared" si="100"/>
        <v>151.53871817574768</v>
      </c>
      <c r="O61" s="6">
        <f t="shared" si="101"/>
        <v>137.11474516914939</v>
      </c>
      <c r="P61" s="6">
        <f t="shared" si="102"/>
        <v>123.9778790513175</v>
      </c>
      <c r="Q61" s="6">
        <f t="shared" si="103"/>
        <v>112.18635342884845</v>
      </c>
      <c r="R61" s="6">
        <f t="shared" si="104"/>
        <v>101.7784941379913</v>
      </c>
      <c r="S61" s="6">
        <f t="shared" si="29"/>
        <v>92.77336932819334</v>
      </c>
      <c r="T61" s="6">
        <f t="shared" si="30"/>
        <v>85.171775882257776</v>
      </c>
      <c r="U61" s="6">
        <f t="shared" si="31"/>
        <v>78.957475664875105</v>
      </c>
      <c r="V61" s="6">
        <f t="shared" si="32"/>
        <v>74.098595852212938</v>
      </c>
      <c r="W61" s="6">
        <f t="shared" si="33"/>
        <v>70.549114002070269</v>
      </c>
      <c r="X61" s="6">
        <f t="shared" si="34"/>
        <v>68.250359397994416</v>
      </c>
      <c r="Y61" s="6">
        <f t="shared" si="35"/>
        <v>67.132476096138419</v>
      </c>
      <c r="Z61" s="6">
        <f t="shared" si="36"/>
        <v>67.115808466880424</v>
      </c>
      <c r="AA61" s="6">
        <f t="shared" si="37"/>
        <v>68.112185350315229</v>
      </c>
      <c r="AB61" s="6">
        <f t="shared" si="38"/>
        <v>70.026092922154945</v>
      </c>
      <c r="AC61" s="6">
        <f t="shared" si="39"/>
        <v>72.755737982537283</v>
      </c>
      <c r="AD61" s="6">
        <f t="shared" si="40"/>
        <v>76.194011996859061</v>
      </c>
      <c r="AE61" s="6">
        <f t="shared" si="41"/>
        <v>80.229371599451582</v>
      </c>
      <c r="AF61" s="6">
        <f t="shared" si="42"/>
        <v>84.746653568698235</v>
      </c>
      <c r="AG61" s="6">
        <f t="shared" si="43"/>
        <v>89.627841977896367</v>
      </c>
      <c r="AH61" s="6">
        <f t="shared" si="11"/>
        <v>94.752803044535426</v>
      </c>
      <c r="AI61" s="1">
        <v>100</v>
      </c>
      <c r="AJ61" s="3"/>
      <c r="AK61" s="18"/>
      <c r="AL61" s="14">
        <f t="shared" si="12"/>
        <v>-1076400000</v>
      </c>
      <c r="AM61" s="14">
        <f t="shared" si="44"/>
        <v>-1002494721.9862063</v>
      </c>
      <c r="AN61" s="14">
        <f t="shared" si="45"/>
        <v>-929270179.55348611</v>
      </c>
      <c r="AO61" s="14">
        <f t="shared" si="46"/>
        <v>-857393377.56605184</v>
      </c>
      <c r="AP61" s="14">
        <f t="shared" si="47"/>
        <v>-787504382.06390262</v>
      </c>
      <c r="AQ61" s="14">
        <f t="shared" si="48"/>
        <v>-720204124.28640699</v>
      </c>
      <c r="AR61" s="14">
        <f t="shared" si="49"/>
        <v>-656043642.93869412</v>
      </c>
      <c r="AS61" s="14">
        <f t="shared" si="50"/>
        <v>-595515102.34116101</v>
      </c>
      <c r="AT61" s="14">
        <f t="shared" si="51"/>
        <v>-539044817.80439937</v>
      </c>
      <c r="AU61" s="14">
        <f t="shared" si="52"/>
        <v>-486988403.9570263</v>
      </c>
      <c r="AV61" s="14">
        <f t="shared" si="53"/>
        <v>-439628045.79576629</v>
      </c>
      <c r="AW61" s="14">
        <f t="shared" si="54"/>
        <v>-397171784.53223437</v>
      </c>
      <c r="AX61" s="14">
        <f t="shared" si="55"/>
        <v>-359754618.35368735</v>
      </c>
      <c r="AY61" s="14">
        <f t="shared" si="56"/>
        <v>-327441147.71531963</v>
      </c>
      <c r="AZ61" s="14">
        <f t="shared" si="57"/>
        <v>-300229449.28156126</v>
      </c>
      <c r="BA61" s="14">
        <f t="shared" si="58"/>
        <v>-278055843.30787015</v>
      </c>
      <c r="BB61" s="14">
        <f t="shared" si="59"/>
        <v>-260800224.95993716</v>
      </c>
      <c r="BC61" s="14">
        <f t="shared" si="60"/>
        <v>-248291657.61529395</v>
      </c>
      <c r="BD61" s="14">
        <f t="shared" si="61"/>
        <v>-240313970.80023617</v>
      </c>
      <c r="BE61" s="14">
        <f t="shared" si="62"/>
        <v>-236611161.28193206</v>
      </c>
      <c r="BF61" s="14">
        <f t="shared" si="63"/>
        <v>-236892456.77736354</v>
      </c>
      <c r="BG61" s="14">
        <f t="shared" si="64"/>
        <v>-240836961.81576794</v>
      </c>
      <c r="BH61" s="14">
        <f t="shared" si="65"/>
        <v>-248097859.35651597</v>
      </c>
      <c r="BI61" s="14">
        <f t="shared" si="66"/>
        <v>-258306185.9101336</v>
      </c>
      <c r="BJ61" s="14">
        <f t="shared" si="22"/>
        <v>-271074229.73794615</v>
      </c>
      <c r="BK61" s="14">
        <f t="shared" si="23"/>
        <v>-285998620.43119413</v>
      </c>
      <c r="BL61" s="14">
        <f t="shared" si="24"/>
        <v>-302663184.55089301</v>
      </c>
      <c r="BM61" s="14">
        <f t="shared" si="25"/>
        <v>-320641638.11411619</v>
      </c>
      <c r="BN61" s="14">
        <f t="shared" si="26"/>
        <v>-339500175.56428277</v>
      </c>
      <c r="BO61" s="14">
        <f t="shared" si="27"/>
        <v>-358800000</v>
      </c>
      <c r="BQ61" s="21"/>
      <c r="BR61" s="1">
        <v>0</v>
      </c>
      <c r="BS61" s="14">
        <f t="shared" ref="BS61:CU61" si="126">$C$16/($C$17-$C$18*BR61)</f>
        <v>0.3415922014622258</v>
      </c>
      <c r="BT61" s="14">
        <f t="shared" si="126"/>
        <v>0.3867162803971414</v>
      </c>
      <c r="BU61" s="14">
        <f t="shared" si="126"/>
        <v>0.39358441341045353</v>
      </c>
      <c r="BV61" s="14">
        <f t="shared" si="126"/>
        <v>0.39465123071155611</v>
      </c>
      <c r="BW61" s="14">
        <f t="shared" si="126"/>
        <v>0.39481745705771337</v>
      </c>
      <c r="BX61" s="14">
        <f t="shared" si="126"/>
        <v>0.39484337025824801</v>
      </c>
      <c r="BY61" s="14">
        <f t="shared" si="126"/>
        <v>0.39484741020089792</v>
      </c>
      <c r="BZ61" s="14">
        <f t="shared" si="126"/>
        <v>0.39484804004704999</v>
      </c>
      <c r="CA61" s="14">
        <f t="shared" si="126"/>
        <v>0.39484813824322279</v>
      </c>
      <c r="CB61" s="14">
        <f t="shared" si="126"/>
        <v>0.39484815355250286</v>
      </c>
      <c r="CC61" s="14">
        <f t="shared" si="126"/>
        <v>0.39484815593929717</v>
      </c>
      <c r="CD61" s="14">
        <f t="shared" si="126"/>
        <v>0.39484815631141046</v>
      </c>
      <c r="CE61" s="14">
        <f t="shared" si="126"/>
        <v>0.39484815636942483</v>
      </c>
      <c r="CF61" s="14">
        <f t="shared" si="126"/>
        <v>0.39484815637846954</v>
      </c>
      <c r="CG61" s="14">
        <f t="shared" si="126"/>
        <v>0.39484815637987963</v>
      </c>
      <c r="CH61" s="14">
        <f t="shared" si="126"/>
        <v>0.39484815638009951</v>
      </c>
      <c r="CI61" s="14">
        <f t="shared" si="126"/>
        <v>0.39484815638013382</v>
      </c>
      <c r="CJ61" s="14">
        <f t="shared" si="126"/>
        <v>0.39484815638013915</v>
      </c>
      <c r="CK61" s="14">
        <f t="shared" si="126"/>
        <v>0.39484815638013998</v>
      </c>
      <c r="CL61" s="14">
        <f t="shared" si="126"/>
        <v>0.39484815638014015</v>
      </c>
      <c r="CM61" s="14">
        <f t="shared" si="126"/>
        <v>0.39484815638014015</v>
      </c>
      <c r="CN61" s="14">
        <f t="shared" si="126"/>
        <v>0.39484815638014015</v>
      </c>
      <c r="CO61" s="14">
        <f t="shared" si="126"/>
        <v>0.39484815638014015</v>
      </c>
      <c r="CP61" s="14">
        <f t="shared" si="126"/>
        <v>0.39484815638014015</v>
      </c>
      <c r="CQ61" s="14">
        <f t="shared" si="126"/>
        <v>0.39484815638014015</v>
      </c>
      <c r="CR61" s="14">
        <f t="shared" si="126"/>
        <v>0.39484815638014015</v>
      </c>
      <c r="CS61" s="14">
        <f t="shared" si="126"/>
        <v>0.39484815638014015</v>
      </c>
      <c r="CT61" s="14">
        <f t="shared" si="126"/>
        <v>0.39484815638014015</v>
      </c>
      <c r="CU61" s="14">
        <f t="shared" si="126"/>
        <v>0.39484815638014015</v>
      </c>
      <c r="CW61" s="23"/>
      <c r="CX61" s="1">
        <f t="shared" si="14"/>
        <v>300</v>
      </c>
      <c r="CY61" s="14">
        <f t="shared" si="15"/>
        <v>190.99660244288899</v>
      </c>
      <c r="CZ61" s="14">
        <f t="shared" si="106"/>
        <v>166.75399096606583</v>
      </c>
      <c r="DA61" s="14">
        <f t="shared" si="107"/>
        <v>152.86143350061803</v>
      </c>
      <c r="DB61" s="14">
        <f t="shared" si="108"/>
        <v>140.66339849143111</v>
      </c>
      <c r="DC61" s="14">
        <f t="shared" si="68"/>
        <v>129.03819047914067</v>
      </c>
      <c r="DD61" s="14">
        <f t="shared" si="69"/>
        <v>117.90807156369668</v>
      </c>
      <c r="DE61" s="14">
        <f t="shared" si="70"/>
        <v>107.33675338457091</v>
      </c>
      <c r="DF61" s="14">
        <f t="shared" si="71"/>
        <v>97.399229784158322</v>
      </c>
      <c r="DG61" s="14">
        <f t="shared" si="72"/>
        <v>88.16231044239322</v>
      </c>
      <c r="DH61" s="14">
        <f t="shared" si="73"/>
        <v>79.681304546148183</v>
      </c>
      <c r="DI61" s="14">
        <f t="shared" si="74"/>
        <v>71.999302704184018</v>
      </c>
      <c r="DJ61" s="14">
        <f t="shared" si="75"/>
        <v>65.147100303956606</v>
      </c>
      <c r="DK61" s="14">
        <f t="shared" si="76"/>
        <v>59.143450646374014</v>
      </c>
      <c r="DL61" s="14">
        <f t="shared" si="77"/>
        <v>53.995562183683973</v>
      </c>
      <c r="DM61" s="14">
        <f t="shared" si="78"/>
        <v>49.699781702291027</v>
      </c>
      <c r="DN61" s="14">
        <f t="shared" si="79"/>
        <v>46.24240825424603</v>
      </c>
      <c r="DO61" s="14">
        <f t="shared" si="80"/>
        <v>43.600585421490628</v>
      </c>
      <c r="DP61" s="14">
        <f t="shared" si="81"/>
        <v>41.743224978200395</v>
      </c>
      <c r="DQ61" s="14">
        <f t="shared" si="82"/>
        <v>40.631922859028094</v>
      </c>
      <c r="DR61" s="14">
        <f t="shared" si="83"/>
        <v>40.221837654286063</v>
      </c>
      <c r="DS61" s="14">
        <f t="shared" si="84"/>
        <v>40.462511661497977</v>
      </c>
      <c r="DT61" s="14">
        <f t="shared" si="85"/>
        <v>41.298623913673566</v>
      </c>
      <c r="DU61" s="14">
        <f t="shared" si="86"/>
        <v>42.670672818371195</v>
      </c>
      <c r="DV61" s="14">
        <f t="shared" si="87"/>
        <v>44.515592533278429</v>
      </c>
      <c r="DW61" s="14">
        <f t="shared" si="88"/>
        <v>46.767311678464665</v>
      </c>
      <c r="DX61" s="14">
        <f t="shared" si="89"/>
        <v>49.357265403395324</v>
      </c>
      <c r="DY61" s="14">
        <f t="shared" si="90"/>
        <v>52.214872383911022</v>
      </c>
      <c r="DZ61" s="14">
        <f t="shared" si="91"/>
        <v>55.267987406521421</v>
      </c>
      <c r="EA61" s="14">
        <f t="shared" si="92"/>
        <v>58.443338317957313</v>
      </c>
    </row>
    <row r="62" spans="5:131" x14ac:dyDescent="0.25">
      <c r="E62" s="19"/>
      <c r="F62" s="1">
        <v>300</v>
      </c>
      <c r="G62" s="6">
        <f t="shared" si="93"/>
        <v>279.60238189843898</v>
      </c>
      <c r="H62" s="6">
        <f t="shared" si="94"/>
        <v>259.39052202088476</v>
      </c>
      <c r="I62" s="6">
        <f t="shared" si="95"/>
        <v>239.5464989466829</v>
      </c>
      <c r="J62" s="6">
        <f t="shared" si="96"/>
        <v>220.2451684885815</v>
      </c>
      <c r="K62" s="6">
        <f t="shared" si="97"/>
        <v>201.65088514652408</v>
      </c>
      <c r="L62" s="6">
        <f t="shared" si="98"/>
        <v>183.91459994832263</v>
      </c>
      <c r="M62" s="6">
        <f t="shared" si="99"/>
        <v>167.1714238014286</v>
      </c>
      <c r="N62" s="6">
        <f t="shared" si="100"/>
        <v>151.53871817574768</v>
      </c>
      <c r="O62" s="6">
        <f t="shared" si="101"/>
        <v>137.11474516914939</v>
      </c>
      <c r="P62" s="6">
        <f t="shared" si="102"/>
        <v>123.9778790513175</v>
      </c>
      <c r="Q62" s="6">
        <f t="shared" si="103"/>
        <v>112.18635342884845</v>
      </c>
      <c r="R62" s="6">
        <f t="shared" si="104"/>
        <v>101.7784941379913</v>
      </c>
      <c r="S62" s="6">
        <f t="shared" si="29"/>
        <v>92.77336932819334</v>
      </c>
      <c r="T62" s="6">
        <f t="shared" si="30"/>
        <v>85.171775882257776</v>
      </c>
      <c r="U62" s="6">
        <f t="shared" si="31"/>
        <v>78.957475664875105</v>
      </c>
      <c r="V62" s="6">
        <f t="shared" si="32"/>
        <v>74.098595852212938</v>
      </c>
      <c r="W62" s="6">
        <f t="shared" si="33"/>
        <v>70.549114002070269</v>
      </c>
      <c r="X62" s="6">
        <f t="shared" si="34"/>
        <v>68.250359397994416</v>
      </c>
      <c r="Y62" s="6">
        <f t="shared" si="35"/>
        <v>67.132476096138419</v>
      </c>
      <c r="Z62" s="6">
        <f t="shared" si="36"/>
        <v>67.115808466880424</v>
      </c>
      <c r="AA62" s="6">
        <f t="shared" si="37"/>
        <v>68.112185350315229</v>
      </c>
      <c r="AB62" s="6">
        <f t="shared" si="38"/>
        <v>70.026092922154945</v>
      </c>
      <c r="AC62" s="6">
        <f t="shared" si="39"/>
        <v>72.755737982537283</v>
      </c>
      <c r="AD62" s="6">
        <f t="shared" si="40"/>
        <v>76.194011996859061</v>
      </c>
      <c r="AE62" s="6">
        <f t="shared" si="41"/>
        <v>80.229371599451582</v>
      </c>
      <c r="AF62" s="6">
        <f t="shared" si="42"/>
        <v>84.746653568698235</v>
      </c>
      <c r="AG62" s="6">
        <f t="shared" si="43"/>
        <v>89.627841977896367</v>
      </c>
      <c r="AH62" s="6">
        <f t="shared" si="11"/>
        <v>94.752803044535426</v>
      </c>
      <c r="AI62" s="1">
        <v>100</v>
      </c>
      <c r="AJ62" s="3"/>
      <c r="AK62" s="18"/>
      <c r="AL62" s="14">
        <f t="shared" si="12"/>
        <v>-1076400000</v>
      </c>
      <c r="AM62" s="14">
        <f t="shared" si="44"/>
        <v>-1002494721.9862063</v>
      </c>
      <c r="AN62" s="14">
        <f t="shared" si="45"/>
        <v>-929270179.55348611</v>
      </c>
      <c r="AO62" s="14">
        <f t="shared" si="46"/>
        <v>-857393377.56605184</v>
      </c>
      <c r="AP62" s="14">
        <f t="shared" si="47"/>
        <v>-787504382.06390262</v>
      </c>
      <c r="AQ62" s="14">
        <f t="shared" si="48"/>
        <v>-720204124.28640699</v>
      </c>
      <c r="AR62" s="14">
        <f t="shared" si="49"/>
        <v>-656043642.93869412</v>
      </c>
      <c r="AS62" s="14">
        <f t="shared" si="50"/>
        <v>-595515102.34116101</v>
      </c>
      <c r="AT62" s="14">
        <f t="shared" si="51"/>
        <v>-539044817.80439937</v>
      </c>
      <c r="AU62" s="14">
        <f t="shared" si="52"/>
        <v>-486988403.9570263</v>
      </c>
      <c r="AV62" s="14">
        <f t="shared" si="53"/>
        <v>-439628045.79576629</v>
      </c>
      <c r="AW62" s="14">
        <f t="shared" si="54"/>
        <v>-397171784.53223437</v>
      </c>
      <c r="AX62" s="14">
        <f t="shared" si="55"/>
        <v>-359754618.35368735</v>
      </c>
      <c r="AY62" s="14">
        <f t="shared" si="56"/>
        <v>-327441147.71531963</v>
      </c>
      <c r="AZ62" s="14">
        <f t="shared" si="57"/>
        <v>-300229449.28156126</v>
      </c>
      <c r="BA62" s="14">
        <f t="shared" si="58"/>
        <v>-278055843.30787015</v>
      </c>
      <c r="BB62" s="14">
        <f t="shared" si="59"/>
        <v>-260800224.95993716</v>
      </c>
      <c r="BC62" s="14">
        <f t="shared" si="60"/>
        <v>-248291657.61529395</v>
      </c>
      <c r="BD62" s="14">
        <f t="shared" si="61"/>
        <v>-240313970.80023617</v>
      </c>
      <c r="BE62" s="14">
        <f t="shared" si="62"/>
        <v>-236611161.28193206</v>
      </c>
      <c r="BF62" s="14">
        <f t="shared" si="63"/>
        <v>-236892456.77736354</v>
      </c>
      <c r="BG62" s="14">
        <f t="shared" si="64"/>
        <v>-240836961.81576794</v>
      </c>
      <c r="BH62" s="14">
        <f t="shared" si="65"/>
        <v>-248097859.35651597</v>
      </c>
      <c r="BI62" s="14">
        <f t="shared" si="66"/>
        <v>-258306185.9101336</v>
      </c>
      <c r="BJ62" s="14">
        <f t="shared" si="22"/>
        <v>-271074229.73794615</v>
      </c>
      <c r="BK62" s="14">
        <f t="shared" si="23"/>
        <v>-285998620.43119413</v>
      </c>
      <c r="BL62" s="14">
        <f t="shared" si="24"/>
        <v>-302663184.55089301</v>
      </c>
      <c r="BM62" s="14">
        <f t="shared" si="25"/>
        <v>-320641638.11411619</v>
      </c>
      <c r="BN62" s="14">
        <f t="shared" si="26"/>
        <v>-339500175.56428277</v>
      </c>
      <c r="BO62" s="14">
        <f t="shared" si="27"/>
        <v>-358800000</v>
      </c>
      <c r="BQ62" s="21"/>
      <c r="BR62" s="1">
        <v>0</v>
      </c>
      <c r="BS62" s="14">
        <f t="shared" ref="BS62:CU62" si="127">$C$16/($C$17-$C$18*BR62)</f>
        <v>0.3415922014622258</v>
      </c>
      <c r="BT62" s="14">
        <f t="shared" si="127"/>
        <v>0.3867162803971414</v>
      </c>
      <c r="BU62" s="14">
        <f t="shared" si="127"/>
        <v>0.39358441341045353</v>
      </c>
      <c r="BV62" s="14">
        <f t="shared" si="127"/>
        <v>0.39465123071155611</v>
      </c>
      <c r="BW62" s="14">
        <f t="shared" si="127"/>
        <v>0.39481745705771337</v>
      </c>
      <c r="BX62" s="14">
        <f t="shared" si="127"/>
        <v>0.39484337025824801</v>
      </c>
      <c r="BY62" s="14">
        <f t="shared" si="127"/>
        <v>0.39484741020089792</v>
      </c>
      <c r="BZ62" s="14">
        <f t="shared" si="127"/>
        <v>0.39484804004704999</v>
      </c>
      <c r="CA62" s="14">
        <f t="shared" si="127"/>
        <v>0.39484813824322279</v>
      </c>
      <c r="CB62" s="14">
        <f t="shared" si="127"/>
        <v>0.39484815355250286</v>
      </c>
      <c r="CC62" s="14">
        <f t="shared" si="127"/>
        <v>0.39484815593929717</v>
      </c>
      <c r="CD62" s="14">
        <f t="shared" si="127"/>
        <v>0.39484815631141046</v>
      </c>
      <c r="CE62" s="14">
        <f t="shared" si="127"/>
        <v>0.39484815636942483</v>
      </c>
      <c r="CF62" s="14">
        <f t="shared" si="127"/>
        <v>0.39484815637846954</v>
      </c>
      <c r="CG62" s="14">
        <f t="shared" si="127"/>
        <v>0.39484815637987963</v>
      </c>
      <c r="CH62" s="14">
        <f t="shared" si="127"/>
        <v>0.39484815638009951</v>
      </c>
      <c r="CI62" s="14">
        <f t="shared" si="127"/>
        <v>0.39484815638013382</v>
      </c>
      <c r="CJ62" s="14">
        <f t="shared" si="127"/>
        <v>0.39484815638013915</v>
      </c>
      <c r="CK62" s="14">
        <f t="shared" si="127"/>
        <v>0.39484815638013998</v>
      </c>
      <c r="CL62" s="14">
        <f t="shared" si="127"/>
        <v>0.39484815638014015</v>
      </c>
      <c r="CM62" s="14">
        <f t="shared" si="127"/>
        <v>0.39484815638014015</v>
      </c>
      <c r="CN62" s="14">
        <f t="shared" si="127"/>
        <v>0.39484815638014015</v>
      </c>
      <c r="CO62" s="14">
        <f t="shared" si="127"/>
        <v>0.39484815638014015</v>
      </c>
      <c r="CP62" s="14">
        <f t="shared" si="127"/>
        <v>0.39484815638014015</v>
      </c>
      <c r="CQ62" s="14">
        <f t="shared" si="127"/>
        <v>0.39484815638014015</v>
      </c>
      <c r="CR62" s="14">
        <f t="shared" si="127"/>
        <v>0.39484815638014015</v>
      </c>
      <c r="CS62" s="14">
        <f t="shared" si="127"/>
        <v>0.39484815638014015</v>
      </c>
      <c r="CT62" s="14">
        <f t="shared" si="127"/>
        <v>0.39484815638014015</v>
      </c>
      <c r="CU62" s="14">
        <f t="shared" si="127"/>
        <v>0.39484815638014015</v>
      </c>
      <c r="CW62" s="23"/>
      <c r="CX62" s="1">
        <f t="shared" si="14"/>
        <v>300</v>
      </c>
      <c r="CY62" s="14">
        <f t="shared" si="15"/>
        <v>190.99660244288899</v>
      </c>
      <c r="CZ62" s="14">
        <f t="shared" si="106"/>
        <v>166.75399096606583</v>
      </c>
      <c r="DA62" s="14">
        <f t="shared" si="107"/>
        <v>152.86143350061803</v>
      </c>
      <c r="DB62" s="14">
        <f t="shared" si="108"/>
        <v>140.66339849143111</v>
      </c>
      <c r="DC62" s="14">
        <f t="shared" si="68"/>
        <v>129.03819047914067</v>
      </c>
      <c r="DD62" s="14">
        <f t="shared" si="69"/>
        <v>117.90807156369668</v>
      </c>
      <c r="DE62" s="14">
        <f t="shared" si="70"/>
        <v>107.33675338457091</v>
      </c>
      <c r="DF62" s="14">
        <f t="shared" si="71"/>
        <v>97.399229784158322</v>
      </c>
      <c r="DG62" s="14">
        <f t="shared" si="72"/>
        <v>88.16231044239322</v>
      </c>
      <c r="DH62" s="14">
        <f t="shared" si="73"/>
        <v>79.681304546148183</v>
      </c>
      <c r="DI62" s="14">
        <f t="shared" si="74"/>
        <v>71.999302704184018</v>
      </c>
      <c r="DJ62" s="14">
        <f t="shared" si="75"/>
        <v>65.147100303956606</v>
      </c>
      <c r="DK62" s="14">
        <f t="shared" si="76"/>
        <v>59.143450646374014</v>
      </c>
      <c r="DL62" s="14">
        <f t="shared" si="77"/>
        <v>53.995562183683973</v>
      </c>
      <c r="DM62" s="14">
        <f t="shared" si="78"/>
        <v>49.699781702291027</v>
      </c>
      <c r="DN62" s="14">
        <f t="shared" si="79"/>
        <v>46.24240825424603</v>
      </c>
      <c r="DO62" s="14">
        <f t="shared" si="80"/>
        <v>43.600585421490628</v>
      </c>
      <c r="DP62" s="14">
        <f t="shared" si="81"/>
        <v>41.743224978200395</v>
      </c>
      <c r="DQ62" s="14">
        <f t="shared" si="82"/>
        <v>40.631922859028094</v>
      </c>
      <c r="DR62" s="14">
        <f t="shared" si="83"/>
        <v>40.221837654286063</v>
      </c>
      <c r="DS62" s="14">
        <f t="shared" si="84"/>
        <v>40.462511661497977</v>
      </c>
      <c r="DT62" s="14">
        <f t="shared" si="85"/>
        <v>41.298623913673566</v>
      </c>
      <c r="DU62" s="14">
        <f t="shared" si="86"/>
        <v>42.670672818371195</v>
      </c>
      <c r="DV62" s="14">
        <f t="shared" si="87"/>
        <v>44.515592533278429</v>
      </c>
      <c r="DW62" s="14">
        <f t="shared" si="88"/>
        <v>46.767311678464665</v>
      </c>
      <c r="DX62" s="14">
        <f t="shared" si="89"/>
        <v>49.357265403395324</v>
      </c>
      <c r="DY62" s="14">
        <f t="shared" si="90"/>
        <v>52.214872383911022</v>
      </c>
      <c r="DZ62" s="14">
        <f t="shared" si="91"/>
        <v>55.267987406521421</v>
      </c>
      <c r="EA62" s="14">
        <f t="shared" si="92"/>
        <v>58.443338317957313</v>
      </c>
    </row>
    <row r="64" spans="5:131" x14ac:dyDescent="0.25">
      <c r="E64" s="24" t="s">
        <v>18</v>
      </c>
      <c r="F64" s="6">
        <f t="shared" ref="F64:U64" si="128">CX65/(1-BR65)</f>
        <v>300</v>
      </c>
      <c r="G64" s="6">
        <f t="shared" si="128"/>
        <v>279.60238189843892</v>
      </c>
      <c r="H64" s="6">
        <f t="shared" si="128"/>
        <v>259.39052202088459</v>
      </c>
      <c r="I64" s="6">
        <f t="shared" si="128"/>
        <v>239.54649894668265</v>
      </c>
      <c r="J64" s="6">
        <f t="shared" si="128"/>
        <v>220.24516848858124</v>
      </c>
      <c r="K64" s="6">
        <f t="shared" si="128"/>
        <v>201.65088514652385</v>
      </c>
      <c r="L64" s="6">
        <f t="shared" si="128"/>
        <v>183.91459994832243</v>
      </c>
      <c r="M64" s="6">
        <f t="shared" si="128"/>
        <v>167.17142380142838</v>
      </c>
      <c r="N64" s="6">
        <f t="shared" si="128"/>
        <v>151.53871817574745</v>
      </c>
      <c r="O64" s="6">
        <f t="shared" si="128"/>
        <v>137.11474516914922</v>
      </c>
      <c r="P64" s="6">
        <f t="shared" si="128"/>
        <v>123.9778790513173</v>
      </c>
      <c r="Q64" s="6">
        <f t="shared" si="128"/>
        <v>112.18635342884832</v>
      </c>
      <c r="R64" s="6">
        <f t="shared" si="128"/>
        <v>101.77849413799119</v>
      </c>
      <c r="S64" s="6">
        <f t="shared" si="128"/>
        <v>92.773369328193198</v>
      </c>
      <c r="T64" s="6">
        <f t="shared" si="128"/>
        <v>85.171775882257663</v>
      </c>
      <c r="U64" s="6">
        <f t="shared" si="128"/>
        <v>78.957475664874991</v>
      </c>
      <c r="V64" s="6">
        <f t="shared" ref="V64:AG64" si="129">DN65/(1-CH65)</f>
        <v>74.098595852212853</v>
      </c>
      <c r="W64" s="6">
        <f t="shared" si="129"/>
        <v>70.549114002070155</v>
      </c>
      <c r="X64" s="6">
        <f t="shared" si="129"/>
        <v>68.250359397994316</v>
      </c>
      <c r="Y64" s="6">
        <f t="shared" si="129"/>
        <v>67.132476096138319</v>
      </c>
      <c r="Z64" s="6">
        <f t="shared" si="129"/>
        <v>67.115808466880367</v>
      </c>
      <c r="AA64" s="6">
        <f t="shared" si="129"/>
        <v>68.112185350315173</v>
      </c>
      <c r="AB64" s="6">
        <f t="shared" si="129"/>
        <v>70.026092922154874</v>
      </c>
      <c r="AC64" s="6">
        <f t="shared" si="129"/>
        <v>72.755737982537227</v>
      </c>
      <c r="AD64" s="6">
        <f t="shared" si="129"/>
        <v>76.194011996859018</v>
      </c>
      <c r="AE64" s="6">
        <f t="shared" si="129"/>
        <v>80.229371599451568</v>
      </c>
      <c r="AF64" s="6">
        <f t="shared" si="129"/>
        <v>84.746653568698207</v>
      </c>
      <c r="AG64" s="6">
        <f t="shared" si="129"/>
        <v>89.62784197789631</v>
      </c>
      <c r="AH64" s="6">
        <f t="shared" ref="AH64" si="130">DZ65/(1-CT65)</f>
        <v>94.752803044535412</v>
      </c>
      <c r="AI64" s="15">
        <f>EA65/(1-CU65)</f>
        <v>99.999999999999986</v>
      </c>
      <c r="AK64" s="20" t="s">
        <v>14</v>
      </c>
      <c r="AL64" s="14">
        <f>-($C$10*$C$9*F33)/$C$7</f>
        <v>-1076400000</v>
      </c>
      <c r="AM64" s="14">
        <f t="shared" ref="AM64:BO72" si="131">-($C$10*$C$9*G33)/$C$7</f>
        <v>-1003213346.2515986</v>
      </c>
      <c r="AN64" s="14">
        <f t="shared" si="131"/>
        <v>-930693193.01093388</v>
      </c>
      <c r="AO64" s="14">
        <f t="shared" si="131"/>
        <v>-859492838.22069728</v>
      </c>
      <c r="AP64" s="14">
        <f t="shared" si="131"/>
        <v>-790239664.53702939</v>
      </c>
      <c r="AQ64" s="14">
        <f t="shared" si="131"/>
        <v>-723523375.90572751</v>
      </c>
      <c r="AR64" s="14">
        <f t="shared" si="131"/>
        <v>-659885584.61458087</v>
      </c>
      <c r="AS64" s="14">
        <f t="shared" si="131"/>
        <v>-599811068.59952497</v>
      </c>
      <c r="AT64" s="14">
        <f t="shared" si="131"/>
        <v>-543720920.81458187</v>
      </c>
      <c r="AU64" s="14">
        <f t="shared" si="131"/>
        <v>-491967705.66690731</v>
      </c>
      <c r="AV64" s="14">
        <f t="shared" si="131"/>
        <v>-444832630.03612655</v>
      </c>
      <c r="AW64" s="14">
        <f t="shared" si="131"/>
        <v>-402524636.1027078</v>
      </c>
      <c r="AX64" s="14">
        <f t="shared" si="131"/>
        <v>-365181236.96711236</v>
      </c>
      <c r="AY64" s="14">
        <f t="shared" si="131"/>
        <v>-332870849.14955723</v>
      </c>
      <c r="AZ64" s="14">
        <f t="shared" si="131"/>
        <v>-305596331.86554044</v>
      </c>
      <c r="BA64" s="14">
        <f t="shared" si="131"/>
        <v>-283299422.68557149</v>
      </c>
      <c r="BB64" s="14">
        <f t="shared" si="131"/>
        <v>-265865761.91773966</v>
      </c>
      <c r="BC64" s="14">
        <f t="shared" si="131"/>
        <v>-253130221.03942776</v>
      </c>
      <c r="BD64" s="14">
        <f t="shared" si="131"/>
        <v>-244882289.52000362</v>
      </c>
      <c r="BE64" s="14">
        <f t="shared" si="131"/>
        <v>-240871324.23294434</v>
      </c>
      <c r="BF64" s="14">
        <f t="shared" si="131"/>
        <v>-240811520.7791667</v>
      </c>
      <c r="BG64" s="14">
        <f t="shared" si="131"/>
        <v>-244386521.03693083</v>
      </c>
      <c r="BH64" s="14">
        <f t="shared" si="131"/>
        <v>-251253621.40469173</v>
      </c>
      <c r="BI64" s="14">
        <f t="shared" si="131"/>
        <v>-261047587.88134357</v>
      </c>
      <c r="BJ64" s="14">
        <f t="shared" si="131"/>
        <v>-273384115.04473019</v>
      </c>
      <c r="BK64" s="14">
        <f t="shared" si="131"/>
        <v>-287862985.29883218</v>
      </c>
      <c r="BL64" s="14">
        <f t="shared" si="131"/>
        <v>-304070993.00448918</v>
      </c>
      <c r="BM64" s="14">
        <f t="shared" si="131"/>
        <v>-321584697.01669198</v>
      </c>
      <c r="BN64" s="14">
        <f t="shared" si="131"/>
        <v>-339973057.32379299</v>
      </c>
      <c r="BO64" s="14">
        <f t="shared" si="131"/>
        <v>-358800000</v>
      </c>
      <c r="BQ64" s="20" t="s">
        <v>16</v>
      </c>
      <c r="BR64" s="14">
        <f>$C$20/($C$21-$C$22*BR65)</f>
        <v>0.39484815638014015</v>
      </c>
      <c r="BS64" s="14">
        <f t="shared" ref="BS64:CU72" si="132">$C$20/($C$21-$C$22*BS65)</f>
        <v>0.39484815638014015</v>
      </c>
      <c r="BT64" s="14">
        <f t="shared" si="132"/>
        <v>0.39484815638014015</v>
      </c>
      <c r="BU64" s="14">
        <f t="shared" si="132"/>
        <v>0.39484815638014015</v>
      </c>
      <c r="BV64" s="14">
        <f t="shared" si="132"/>
        <v>0.39484815638014015</v>
      </c>
      <c r="BW64" s="14">
        <f t="shared" si="132"/>
        <v>0.39484815638014015</v>
      </c>
      <c r="BX64" s="14">
        <f t="shared" si="132"/>
        <v>0.39484815638014015</v>
      </c>
      <c r="BY64" s="14">
        <f t="shared" si="132"/>
        <v>0.39484815638014015</v>
      </c>
      <c r="BZ64" s="14">
        <f t="shared" si="132"/>
        <v>0.39484815638014015</v>
      </c>
      <c r="CA64" s="14">
        <f t="shared" si="132"/>
        <v>0.39484815638014015</v>
      </c>
      <c r="CB64" s="14">
        <f t="shared" si="132"/>
        <v>0.39484815638014015</v>
      </c>
      <c r="CC64" s="14">
        <f t="shared" si="132"/>
        <v>0.39484815638014015</v>
      </c>
      <c r="CD64" s="14">
        <f t="shared" si="132"/>
        <v>0.39484815638014015</v>
      </c>
      <c r="CE64" s="14">
        <f t="shared" si="132"/>
        <v>0.39484815638014015</v>
      </c>
      <c r="CF64" s="14">
        <f t="shared" si="132"/>
        <v>0.39484815638014015</v>
      </c>
      <c r="CG64" s="14">
        <f t="shared" si="132"/>
        <v>0.39484815638014015</v>
      </c>
      <c r="CH64" s="14">
        <f t="shared" si="132"/>
        <v>0.39484815638014015</v>
      </c>
      <c r="CI64" s="14">
        <f t="shared" si="132"/>
        <v>0.39484815638014015</v>
      </c>
      <c r="CJ64" s="14">
        <f t="shared" si="132"/>
        <v>0.39484815638014015</v>
      </c>
      <c r="CK64" s="14">
        <f t="shared" si="132"/>
        <v>0.39484815638014015</v>
      </c>
      <c r="CL64" s="14">
        <f t="shared" si="132"/>
        <v>0.39484815638014015</v>
      </c>
      <c r="CM64" s="14">
        <f t="shared" si="132"/>
        <v>0.39484815638014015</v>
      </c>
      <c r="CN64" s="14">
        <f t="shared" si="132"/>
        <v>0.39484815638014015</v>
      </c>
      <c r="CO64" s="14">
        <f t="shared" si="132"/>
        <v>0.39484815638014015</v>
      </c>
      <c r="CP64" s="14">
        <f t="shared" si="132"/>
        <v>0.39484815638014015</v>
      </c>
      <c r="CQ64" s="14">
        <f t="shared" si="132"/>
        <v>0.39484815638014015</v>
      </c>
      <c r="CR64" s="14">
        <f t="shared" si="132"/>
        <v>0.39484815638014015</v>
      </c>
      <c r="CS64" s="14">
        <f t="shared" si="132"/>
        <v>0.39484815638014015</v>
      </c>
      <c r="CT64" s="14">
        <f t="shared" si="132"/>
        <v>0.39484815638014015</v>
      </c>
      <c r="CU64" s="14">
        <f t="shared" si="132"/>
        <v>0.39484815638014015</v>
      </c>
      <c r="CW64" s="20" t="s">
        <v>17</v>
      </c>
      <c r="CX64" s="14">
        <f t="shared" ref="CX64:CX91" si="133">($C$22*CX65-AL64)/($C$21-$C$22*BR65)</f>
        <v>181.54555308595795</v>
      </c>
      <c r="CY64" s="14">
        <f t="shared" ref="CY64:CY92" si="134">($C$22*CY65-AM64)/($C$21-$C$22*BS65)</f>
        <v>169.20189688634443</v>
      </c>
      <c r="CZ64" s="14">
        <f t="shared" ref="CZ64:CZ92" si="135">($C$22*CZ65-AN64)/($C$21-$C$22*BT65)</f>
        <v>156.97065261845617</v>
      </c>
      <c r="DA64" s="14">
        <f t="shared" ref="DA64:DA92" si="136">($C$22*DA65-AO64)/($C$21-$C$22*BU65)</f>
        <v>144.96200547026783</v>
      </c>
      <c r="DB64" s="14">
        <f t="shared" ref="DB64:DB92" si="137">($C$22*DB65-AP64)/($C$21-$C$22*BV65)</f>
        <v>133.28176975923159</v>
      </c>
      <c r="DC64" s="14">
        <f t="shared" ref="DC64:DC92" si="138">($C$22*DC65-AQ64)/($C$21-$C$22*BW65)</f>
        <v>122.02940491399552</v>
      </c>
      <c r="DD64" s="14">
        <f t="shared" ref="DD64:DD92" si="139">($C$22*DD65-AR64)/($C$21-$C$22*BX65)</f>
        <v>111.29625922733631</v>
      </c>
      <c r="DE64" s="14">
        <f t="shared" ref="DE64:DE92" si="140">($C$22*DE65-AS64)/($C$21-$C$22*BY65)</f>
        <v>101.1640953139913</v>
      </c>
      <c r="DF64" s="14">
        <f t="shared" ref="DF64:DF92" si="141">($C$22*DF65-AT64)/($C$21-$C$22*BZ65)</f>
        <v>91.70393468384394</v>
      </c>
      <c r="DG64" s="14">
        <f t="shared" ref="DG64:DG92" si="142">($C$22*DG65-AU64)/($C$21-$C$22*CA65)</f>
        <v>82.975240826577917</v>
      </c>
      <c r="DH64" s="14">
        <f t="shared" ref="DH64:DH92" si="143">($C$22*DH65-AV64)/($C$21-$C$22*CB65)</f>
        <v>75.025442075984671</v>
      </c>
      <c r="DI64" s="14">
        <f t="shared" ref="DI64:DI92" si="144">($C$22*DI65-AW64)/($C$21-$C$22*CC65)</f>
        <v>67.889778606456744</v>
      </c>
      <c r="DJ64" s="14">
        <f t="shared" ref="DJ64:DJ92" si="145">($C$22*DJ65-AX64)/($C$21-$C$22*CD65)</f>
        <v>61.591443368458464</v>
      </c>
      <c r="DK64" s="14">
        <f t="shared" ref="DK64:DK92" si="146">($C$22*DK65-AY64)/($C$21-$C$22*CE65)</f>
        <v>56.141975487782275</v>
      </c>
      <c r="DL64" s="14">
        <f t="shared" ref="DL64:DL92" si="147">($C$22*DL65-AZ64)/($C$21-$C$22*CF65)</f>
        <v>51.541857199525737</v>
      </c>
      <c r="DM64" s="14">
        <f t="shared" ref="DM64:DM92" si="148">($C$22*DM65-BA64)/($C$21-$C$22*CG65)</f>
        <v>47.781261966169318</v>
      </c>
      <c r="DN64" s="14">
        <f t="shared" ref="DN64:DN92" si="149">($C$22*DN65-BB64)/($C$21-$C$22*CH65)</f>
        <v>44.840901889609505</v>
      </c>
      <c r="DO64" s="14">
        <f t="shared" ref="DO64:DO92" si="150">($C$22*DO65-BC64)/($C$21-$C$22*CI65)</f>
        <v>42.692926404100426</v>
      </c>
      <c r="DP64" s="14">
        <f t="shared" ref="DP64:DP92" si="151">($C$22*DP65-BD64)/($C$21-$C$22*CJ65)</f>
        <v>41.301830817414292</v>
      </c>
      <c r="DQ64" s="14">
        <f t="shared" ref="DQ64:DQ92" si="152">($C$22*DQ65-BE64)/($C$21-$C$22*CK65)</f>
        <v>40.625341676344277</v>
      </c>
      <c r="DR64" s="14">
        <f t="shared" ref="DR64:DR92" si="153">($C$22*DR65-BF64)/($C$21-$C$22*CL65)</f>
        <v>40.61525522977005</v>
      </c>
      <c r="DS64" s="14">
        <f t="shared" ref="DS64:DS92" si="154">($C$22*DS65-BG64)/($C$21-$C$22*CM65)</f>
        <v>41.218214537720833</v>
      </c>
      <c r="DT64" s="14">
        <f t="shared" ref="DT64:DT92" si="155">($C$22*DT65-BH64)/($C$21-$C$22*CN65)</f>
        <v>42.376419233337643</v>
      </c>
      <c r="DU64" s="14">
        <f t="shared" ref="DU64:DU92" si="156">($C$22*DU65-BI64)/($C$21-$C$22*CO65)</f>
        <v>44.028268974055869</v>
      </c>
      <c r="DV64" s="14">
        <f t="shared" ref="DV64:DV92" si="157">($C$22*DV65-BJ64)/($C$21-$C$22*CP65)</f>
        <v>46.108946832692951</v>
      </c>
      <c r="DW64" s="14">
        <f t="shared" ref="DW64:DW92" si="158">($C$22*DW65-BK64)/($C$21-$C$22*CQ65)</f>
        <v>48.550952135870936</v>
      </c>
      <c r="DX64" s="14">
        <f t="shared" ref="DX64:DX92" si="159">($C$22*DX65-BL64)/($C$21-$C$22*CR65)</f>
        <v>51.284593647711297</v>
      </c>
      <c r="DY64" s="14">
        <f t="shared" ref="DY64:DY92" si="160">($C$22*DY65-BM64)/($C$21-$C$22*CS65)</f>
        <v>54.23845381259342</v>
      </c>
      <c r="DZ64" s="14">
        <f t="shared" ref="DZ64:DZ92" si="161">($C$22*DZ65-BN64)/($C$21-$C$22*CT65)</f>
        <v>57.339833450550074</v>
      </c>
      <c r="EA64" s="14">
        <f t="shared" ref="EA64:EA92" si="162">($C$22*EA65-BO64)/($C$21-$C$22*CU65)</f>
        <v>60.51518436198598</v>
      </c>
    </row>
    <row r="65" spans="5:131" x14ac:dyDescent="0.25">
      <c r="E65" s="25"/>
      <c r="F65" s="6">
        <f t="shared" ref="F65:F93" si="163">BR65*F64+CX65</f>
        <v>300</v>
      </c>
      <c r="G65" s="6">
        <f t="shared" ref="G65:G93" si="164">BS65*G64+CY65</f>
        <v>279.60238189843892</v>
      </c>
      <c r="H65" s="6">
        <f t="shared" ref="H65:H93" si="165">BT65*H64+CZ65</f>
        <v>259.39052202088459</v>
      </c>
      <c r="I65" s="6">
        <f t="shared" ref="I65:I93" si="166">BU65*I64+DA65</f>
        <v>239.54649894668265</v>
      </c>
      <c r="J65" s="6">
        <f t="shared" ref="J65:J93" si="167">BV65*J64+DB65</f>
        <v>220.24516848858121</v>
      </c>
      <c r="K65" s="6">
        <f t="shared" ref="K65:K93" si="168">BW65*K64+DC65</f>
        <v>201.65088514652385</v>
      </c>
      <c r="L65" s="6">
        <f t="shared" ref="L65:L93" si="169">BX65*L64+DD65</f>
        <v>183.91459994832243</v>
      </c>
      <c r="M65" s="6">
        <f t="shared" ref="M65:M93" si="170">BY65*M64+DE65</f>
        <v>167.17142380142838</v>
      </c>
      <c r="N65" s="6">
        <f t="shared" ref="N65:N93" si="171">BZ65*N64+DF65</f>
        <v>151.53871817574745</v>
      </c>
      <c r="O65" s="6">
        <f t="shared" ref="O65:O93" si="172">CA65*O64+DG65</f>
        <v>137.11474516914922</v>
      </c>
      <c r="P65" s="6">
        <f t="shared" ref="P65:P93" si="173">CB65*P64+DH65</f>
        <v>123.9778790513173</v>
      </c>
      <c r="Q65" s="6">
        <f t="shared" ref="Q65:Q93" si="174">CC65*Q64+DI65</f>
        <v>112.18635342884832</v>
      </c>
      <c r="R65" s="6">
        <f t="shared" ref="R65:R93" si="175">CD65*R64+DJ65</f>
        <v>101.77849413799119</v>
      </c>
      <c r="S65" s="6">
        <f t="shared" ref="S65:S93" si="176">CE65*S64+DK65</f>
        <v>92.773369328193198</v>
      </c>
      <c r="T65" s="6">
        <f t="shared" ref="T65:T93" si="177">CF65*T64+DL65</f>
        <v>85.171775882257663</v>
      </c>
      <c r="U65" s="6">
        <f t="shared" ref="U65:U93" si="178">CG65*U64+DM65</f>
        <v>78.957475664874991</v>
      </c>
      <c r="V65" s="6">
        <f t="shared" ref="V65:V93" si="179">CH65*V64+DN65</f>
        <v>74.098595852212853</v>
      </c>
      <c r="W65" s="6">
        <f t="shared" ref="W65:W93" si="180">CI65*W64+DO65</f>
        <v>70.549114002070155</v>
      </c>
      <c r="X65" s="6">
        <f t="shared" ref="X65:X93" si="181">CJ65*X64+DP65</f>
        <v>68.250359397994316</v>
      </c>
      <c r="Y65" s="6">
        <f t="shared" ref="Y65:Y93" si="182">CK65*Y64+DQ65</f>
        <v>67.132476096138319</v>
      </c>
      <c r="Z65" s="6">
        <f t="shared" ref="Z65:Z93" si="183">CL65*Z64+DR65</f>
        <v>67.115808466880367</v>
      </c>
      <c r="AA65" s="6">
        <f t="shared" ref="AA65:AA93" si="184">CM65*AA64+DS65</f>
        <v>68.112185350315173</v>
      </c>
      <c r="AB65" s="6">
        <f t="shared" ref="AB65:AB93" si="185">CN65*AB64+DT65</f>
        <v>70.026092922154874</v>
      </c>
      <c r="AC65" s="6">
        <f t="shared" ref="AC65:AC93" si="186">CO65*AC64+DU65</f>
        <v>72.755737982537227</v>
      </c>
      <c r="AD65" s="6">
        <f t="shared" ref="AD65:AD93" si="187">CP65*AD64+DV65</f>
        <v>76.194011996859018</v>
      </c>
      <c r="AE65" s="6">
        <f t="shared" ref="AE65:AE93" si="188">CQ65*AE64+DW65</f>
        <v>80.229371599451568</v>
      </c>
      <c r="AF65" s="6">
        <f t="shared" ref="AF65:AF93" si="189">CR65*AF64+DX65</f>
        <v>84.746653568698207</v>
      </c>
      <c r="AG65" s="6">
        <f t="shared" ref="AG65:AG93" si="190">CS65*AG64+DY65</f>
        <v>89.62784197789631</v>
      </c>
      <c r="AH65" s="6">
        <f t="shared" ref="AH65:AI80" si="191">CT65*AH64+DZ65</f>
        <v>94.752803044535412</v>
      </c>
      <c r="AI65" s="6">
        <f t="shared" si="191"/>
        <v>100</v>
      </c>
      <c r="AK65" s="21"/>
      <c r="AL65" s="14">
        <f t="shared" ref="AL65:AL93" si="192">-($C$10*$C$9*F34)/$C$7</f>
        <v>-1076400000</v>
      </c>
      <c r="AM65" s="14">
        <f t="shared" si="131"/>
        <v>-1003213346.2515986</v>
      </c>
      <c r="AN65" s="14">
        <f t="shared" si="131"/>
        <v>-930693193.01093388</v>
      </c>
      <c r="AO65" s="14">
        <f t="shared" si="131"/>
        <v>-859492838.22069728</v>
      </c>
      <c r="AP65" s="14">
        <f t="shared" si="131"/>
        <v>-790239664.53702939</v>
      </c>
      <c r="AQ65" s="14">
        <f t="shared" si="131"/>
        <v>-723523375.90572751</v>
      </c>
      <c r="AR65" s="14">
        <f t="shared" si="131"/>
        <v>-659885584.61458087</v>
      </c>
      <c r="AS65" s="14">
        <f t="shared" si="131"/>
        <v>-599811068.59952497</v>
      </c>
      <c r="AT65" s="14">
        <f t="shared" si="131"/>
        <v>-543720920.81458187</v>
      </c>
      <c r="AU65" s="14">
        <f t="shared" si="131"/>
        <v>-491967705.66690731</v>
      </c>
      <c r="AV65" s="14">
        <f t="shared" si="131"/>
        <v>-444832630.03612655</v>
      </c>
      <c r="AW65" s="14">
        <f t="shared" si="131"/>
        <v>-402524636.1027078</v>
      </c>
      <c r="AX65" s="14">
        <f t="shared" si="131"/>
        <v>-365181236.96711236</v>
      </c>
      <c r="AY65" s="14">
        <f t="shared" si="131"/>
        <v>-332870849.14955723</v>
      </c>
      <c r="AZ65" s="14">
        <f t="shared" si="131"/>
        <v>-305596331.86554044</v>
      </c>
      <c r="BA65" s="14">
        <f t="shared" si="131"/>
        <v>-283299422.68557149</v>
      </c>
      <c r="BB65" s="14">
        <f t="shared" si="131"/>
        <v>-265865761.91773966</v>
      </c>
      <c r="BC65" s="14">
        <f t="shared" si="131"/>
        <v>-253130221.03942776</v>
      </c>
      <c r="BD65" s="14">
        <f t="shared" si="131"/>
        <v>-244882289.52000362</v>
      </c>
      <c r="BE65" s="14">
        <f t="shared" si="131"/>
        <v>-240871324.23294434</v>
      </c>
      <c r="BF65" s="14">
        <f t="shared" si="131"/>
        <v>-240811520.7791667</v>
      </c>
      <c r="BG65" s="14">
        <f t="shared" si="131"/>
        <v>-244386521.03693083</v>
      </c>
      <c r="BH65" s="14">
        <f t="shared" si="131"/>
        <v>-251253621.40469173</v>
      </c>
      <c r="BI65" s="14">
        <f t="shared" si="131"/>
        <v>-261047587.88134357</v>
      </c>
      <c r="BJ65" s="14">
        <f t="shared" si="131"/>
        <v>-273384115.04473019</v>
      </c>
      <c r="BK65" s="14">
        <f t="shared" si="131"/>
        <v>-287862985.29883218</v>
      </c>
      <c r="BL65" s="14">
        <f t="shared" si="131"/>
        <v>-304070993.00448918</v>
      </c>
      <c r="BM65" s="14">
        <f t="shared" si="131"/>
        <v>-321584697.01669198</v>
      </c>
      <c r="BN65" s="14">
        <f t="shared" si="131"/>
        <v>-339973057.32379299</v>
      </c>
      <c r="BO65" s="14">
        <f t="shared" si="131"/>
        <v>-358800000</v>
      </c>
      <c r="BQ65" s="20"/>
      <c r="BR65" s="14">
        <f t="shared" ref="BR65:BR92" si="193">$C$20/($C$21-$C$22*BR66)</f>
        <v>0.39484815638014015</v>
      </c>
      <c r="BS65" s="14">
        <f t="shared" si="132"/>
        <v>0.39484815638014015</v>
      </c>
      <c r="BT65" s="14">
        <f t="shared" si="132"/>
        <v>0.39484815638014015</v>
      </c>
      <c r="BU65" s="14">
        <f t="shared" si="132"/>
        <v>0.39484815638014015</v>
      </c>
      <c r="BV65" s="14">
        <f t="shared" si="132"/>
        <v>0.39484815638014015</v>
      </c>
      <c r="BW65" s="14">
        <f t="shared" si="132"/>
        <v>0.39484815638014015</v>
      </c>
      <c r="BX65" s="14">
        <f t="shared" si="132"/>
        <v>0.39484815638014015</v>
      </c>
      <c r="BY65" s="14">
        <f t="shared" si="132"/>
        <v>0.39484815638014015</v>
      </c>
      <c r="BZ65" s="14">
        <f t="shared" si="132"/>
        <v>0.39484815638014015</v>
      </c>
      <c r="CA65" s="14">
        <f t="shared" si="132"/>
        <v>0.39484815638014015</v>
      </c>
      <c r="CB65" s="14">
        <f t="shared" si="132"/>
        <v>0.39484815638014015</v>
      </c>
      <c r="CC65" s="14">
        <f t="shared" si="132"/>
        <v>0.39484815638014015</v>
      </c>
      <c r="CD65" s="14">
        <f t="shared" si="132"/>
        <v>0.39484815638014015</v>
      </c>
      <c r="CE65" s="14">
        <f t="shared" si="132"/>
        <v>0.39484815638014015</v>
      </c>
      <c r="CF65" s="14">
        <f t="shared" si="132"/>
        <v>0.39484815638014015</v>
      </c>
      <c r="CG65" s="14">
        <f t="shared" si="132"/>
        <v>0.39484815638014015</v>
      </c>
      <c r="CH65" s="14">
        <f t="shared" si="132"/>
        <v>0.39484815638014015</v>
      </c>
      <c r="CI65" s="14">
        <f t="shared" si="132"/>
        <v>0.39484815638014015</v>
      </c>
      <c r="CJ65" s="14">
        <f t="shared" si="132"/>
        <v>0.39484815638014015</v>
      </c>
      <c r="CK65" s="14">
        <f t="shared" si="132"/>
        <v>0.39484815638014015</v>
      </c>
      <c r="CL65" s="14">
        <f t="shared" si="132"/>
        <v>0.39484815638014015</v>
      </c>
      <c r="CM65" s="14">
        <f t="shared" si="132"/>
        <v>0.39484815638014015</v>
      </c>
      <c r="CN65" s="14">
        <f t="shared" si="132"/>
        <v>0.39484815638014015</v>
      </c>
      <c r="CO65" s="14">
        <f t="shared" si="132"/>
        <v>0.39484815638014015</v>
      </c>
      <c r="CP65" s="14">
        <f t="shared" si="132"/>
        <v>0.39484815638014015</v>
      </c>
      <c r="CQ65" s="14">
        <f t="shared" si="132"/>
        <v>0.39484815638014015</v>
      </c>
      <c r="CR65" s="14">
        <f t="shared" si="132"/>
        <v>0.39484815638014015</v>
      </c>
      <c r="CS65" s="14">
        <f t="shared" si="132"/>
        <v>0.39484815638014015</v>
      </c>
      <c r="CT65" s="14">
        <f t="shared" si="132"/>
        <v>0.39484815638014015</v>
      </c>
      <c r="CU65" s="14">
        <f t="shared" si="132"/>
        <v>0.39484815638014015</v>
      </c>
      <c r="CW65" s="20"/>
      <c r="CX65" s="14">
        <f t="shared" si="133"/>
        <v>181.54555308595795</v>
      </c>
      <c r="CY65" s="14">
        <f t="shared" si="134"/>
        <v>169.20189688634443</v>
      </c>
      <c r="CZ65" s="14">
        <f t="shared" si="135"/>
        <v>156.97065261845617</v>
      </c>
      <c r="DA65" s="14">
        <f t="shared" si="136"/>
        <v>144.96200547026783</v>
      </c>
      <c r="DB65" s="14">
        <f t="shared" si="137"/>
        <v>133.28176975923159</v>
      </c>
      <c r="DC65" s="14">
        <f t="shared" si="138"/>
        <v>122.02940491399552</v>
      </c>
      <c r="DD65" s="14">
        <f t="shared" si="139"/>
        <v>111.29625922733631</v>
      </c>
      <c r="DE65" s="14">
        <f t="shared" si="140"/>
        <v>101.1640953139913</v>
      </c>
      <c r="DF65" s="14">
        <f t="shared" si="141"/>
        <v>91.70393468384394</v>
      </c>
      <c r="DG65" s="14">
        <f t="shared" si="142"/>
        <v>82.975240826577917</v>
      </c>
      <c r="DH65" s="14">
        <f t="shared" si="143"/>
        <v>75.025442075984671</v>
      </c>
      <c r="DI65" s="14">
        <f t="shared" si="144"/>
        <v>67.889778606456744</v>
      </c>
      <c r="DJ65" s="14">
        <f t="shared" si="145"/>
        <v>61.591443368458464</v>
      </c>
      <c r="DK65" s="14">
        <f t="shared" si="146"/>
        <v>56.141975487782275</v>
      </c>
      <c r="DL65" s="14">
        <f t="shared" si="147"/>
        <v>51.541857199525737</v>
      </c>
      <c r="DM65" s="14">
        <f t="shared" si="148"/>
        <v>47.781261966169318</v>
      </c>
      <c r="DN65" s="14">
        <f t="shared" si="149"/>
        <v>44.840901889609505</v>
      </c>
      <c r="DO65" s="14">
        <f t="shared" si="150"/>
        <v>42.692926404100426</v>
      </c>
      <c r="DP65" s="14">
        <f t="shared" si="151"/>
        <v>41.301830817414292</v>
      </c>
      <c r="DQ65" s="14">
        <f t="shared" si="152"/>
        <v>40.625341676344277</v>
      </c>
      <c r="DR65" s="14">
        <f t="shared" si="153"/>
        <v>40.61525522977005</v>
      </c>
      <c r="DS65" s="14">
        <f t="shared" si="154"/>
        <v>41.218214537720833</v>
      </c>
      <c r="DT65" s="14">
        <f t="shared" si="155"/>
        <v>42.376419233337643</v>
      </c>
      <c r="DU65" s="14">
        <f t="shared" si="156"/>
        <v>44.028268974055869</v>
      </c>
      <c r="DV65" s="14">
        <f t="shared" si="157"/>
        <v>46.108946832692951</v>
      </c>
      <c r="DW65" s="14">
        <f t="shared" si="158"/>
        <v>48.550952135870936</v>
      </c>
      <c r="DX65" s="14">
        <f t="shared" si="159"/>
        <v>51.284593647711297</v>
      </c>
      <c r="DY65" s="14">
        <f t="shared" si="160"/>
        <v>54.23845381259342</v>
      </c>
      <c r="DZ65" s="14">
        <f t="shared" si="161"/>
        <v>57.339833450550074</v>
      </c>
      <c r="EA65" s="14">
        <f t="shared" si="162"/>
        <v>60.51518436198598</v>
      </c>
    </row>
    <row r="66" spans="5:131" x14ac:dyDescent="0.25">
      <c r="E66" s="25"/>
      <c r="F66" s="6">
        <f t="shared" si="163"/>
        <v>300</v>
      </c>
      <c r="G66" s="6">
        <f t="shared" si="164"/>
        <v>279.60238189843892</v>
      </c>
      <c r="H66" s="6">
        <f t="shared" si="165"/>
        <v>259.39052202088459</v>
      </c>
      <c r="I66" s="6">
        <f t="shared" si="166"/>
        <v>239.54649894668265</v>
      </c>
      <c r="J66" s="6">
        <f t="shared" si="167"/>
        <v>220.24516848858121</v>
      </c>
      <c r="K66" s="6">
        <f t="shared" si="168"/>
        <v>201.65088514652385</v>
      </c>
      <c r="L66" s="6">
        <f t="shared" si="169"/>
        <v>183.91459994832243</v>
      </c>
      <c r="M66" s="6">
        <f t="shared" si="170"/>
        <v>167.17142380142838</v>
      </c>
      <c r="N66" s="6">
        <f t="shared" si="171"/>
        <v>151.53871817574745</v>
      </c>
      <c r="O66" s="6">
        <f t="shared" si="172"/>
        <v>137.11474516914922</v>
      </c>
      <c r="P66" s="6">
        <f t="shared" si="173"/>
        <v>123.9778790513173</v>
      </c>
      <c r="Q66" s="6">
        <f t="shared" si="174"/>
        <v>112.18635342884832</v>
      </c>
      <c r="R66" s="6">
        <f t="shared" si="175"/>
        <v>101.77849413799119</v>
      </c>
      <c r="S66" s="6">
        <f t="shared" si="176"/>
        <v>92.773369328193198</v>
      </c>
      <c r="T66" s="6">
        <f t="shared" si="177"/>
        <v>85.171775882257663</v>
      </c>
      <c r="U66" s="6">
        <f t="shared" si="178"/>
        <v>78.957475664874991</v>
      </c>
      <c r="V66" s="6">
        <f t="shared" si="179"/>
        <v>74.098595852212853</v>
      </c>
      <c r="W66" s="6">
        <f t="shared" si="180"/>
        <v>70.549114002070155</v>
      </c>
      <c r="X66" s="6">
        <f t="shared" si="181"/>
        <v>68.250359397994316</v>
      </c>
      <c r="Y66" s="6">
        <f t="shared" si="182"/>
        <v>67.132476096138319</v>
      </c>
      <c r="Z66" s="6">
        <f t="shared" si="183"/>
        <v>67.115808466880367</v>
      </c>
      <c r="AA66" s="6">
        <f t="shared" si="184"/>
        <v>68.112185350315173</v>
      </c>
      <c r="AB66" s="6">
        <f t="shared" si="185"/>
        <v>70.026092922154874</v>
      </c>
      <c r="AC66" s="6">
        <f t="shared" si="186"/>
        <v>72.755737982537227</v>
      </c>
      <c r="AD66" s="6">
        <f t="shared" si="187"/>
        <v>76.194011996859018</v>
      </c>
      <c r="AE66" s="6">
        <f t="shared" si="188"/>
        <v>80.229371599451568</v>
      </c>
      <c r="AF66" s="6">
        <f t="shared" si="189"/>
        <v>84.746653568698207</v>
      </c>
      <c r="AG66" s="6">
        <f t="shared" si="190"/>
        <v>89.62784197789631</v>
      </c>
      <c r="AH66" s="6">
        <f t="shared" si="191"/>
        <v>94.752803044535412</v>
      </c>
      <c r="AI66" s="6">
        <f t="shared" si="191"/>
        <v>100</v>
      </c>
      <c r="AK66" s="21"/>
      <c r="AL66" s="14">
        <f t="shared" si="192"/>
        <v>-1076400000</v>
      </c>
      <c r="AM66" s="14">
        <f t="shared" si="131"/>
        <v>-1003213346.2515986</v>
      </c>
      <c r="AN66" s="14">
        <f t="shared" si="131"/>
        <v>-930693193.01093388</v>
      </c>
      <c r="AO66" s="14">
        <f t="shared" si="131"/>
        <v>-859492838.22069728</v>
      </c>
      <c r="AP66" s="14">
        <f t="shared" si="131"/>
        <v>-790239664.53702939</v>
      </c>
      <c r="AQ66" s="14">
        <f t="shared" si="131"/>
        <v>-723523375.90572751</v>
      </c>
      <c r="AR66" s="14">
        <f t="shared" si="131"/>
        <v>-659885584.61458087</v>
      </c>
      <c r="AS66" s="14">
        <f t="shared" si="131"/>
        <v>-599811068.59952497</v>
      </c>
      <c r="AT66" s="14">
        <f t="shared" si="131"/>
        <v>-543720920.81458187</v>
      </c>
      <c r="AU66" s="14">
        <f t="shared" si="131"/>
        <v>-491967705.66690731</v>
      </c>
      <c r="AV66" s="14">
        <f t="shared" si="131"/>
        <v>-444832630.03612655</v>
      </c>
      <c r="AW66" s="14">
        <f t="shared" si="131"/>
        <v>-402524636.1027078</v>
      </c>
      <c r="AX66" s="14">
        <f t="shared" si="131"/>
        <v>-365181236.96711236</v>
      </c>
      <c r="AY66" s="14">
        <f t="shared" si="131"/>
        <v>-332870849.14955723</v>
      </c>
      <c r="AZ66" s="14">
        <f t="shared" si="131"/>
        <v>-305596331.86554044</v>
      </c>
      <c r="BA66" s="14">
        <f t="shared" si="131"/>
        <v>-283299422.68557149</v>
      </c>
      <c r="BB66" s="14">
        <f t="shared" si="131"/>
        <v>-265865761.91773966</v>
      </c>
      <c r="BC66" s="14">
        <f t="shared" si="131"/>
        <v>-253130221.03942776</v>
      </c>
      <c r="BD66" s="14">
        <f t="shared" si="131"/>
        <v>-244882289.52000362</v>
      </c>
      <c r="BE66" s="14">
        <f t="shared" si="131"/>
        <v>-240871324.23294434</v>
      </c>
      <c r="BF66" s="14">
        <f t="shared" si="131"/>
        <v>-240811520.7791667</v>
      </c>
      <c r="BG66" s="14">
        <f t="shared" si="131"/>
        <v>-244386521.03693083</v>
      </c>
      <c r="BH66" s="14">
        <f t="shared" si="131"/>
        <v>-251253621.40469173</v>
      </c>
      <c r="BI66" s="14">
        <f t="shared" si="131"/>
        <v>-261047587.88134357</v>
      </c>
      <c r="BJ66" s="14">
        <f t="shared" si="131"/>
        <v>-273384115.04473019</v>
      </c>
      <c r="BK66" s="14">
        <f t="shared" si="131"/>
        <v>-287862985.29883218</v>
      </c>
      <c r="BL66" s="14">
        <f t="shared" si="131"/>
        <v>-304070993.00448918</v>
      </c>
      <c r="BM66" s="14">
        <f t="shared" si="131"/>
        <v>-321584697.01669198</v>
      </c>
      <c r="BN66" s="14">
        <f t="shared" si="131"/>
        <v>-339973057.32379299</v>
      </c>
      <c r="BO66" s="14">
        <f t="shared" si="131"/>
        <v>-358800000</v>
      </c>
      <c r="BQ66" s="20"/>
      <c r="BR66" s="14">
        <f t="shared" si="193"/>
        <v>0.39484815638014015</v>
      </c>
      <c r="BS66" s="14">
        <f t="shared" si="132"/>
        <v>0.39484815638014015</v>
      </c>
      <c r="BT66" s="14">
        <f t="shared" si="132"/>
        <v>0.39484815638014015</v>
      </c>
      <c r="BU66" s="14">
        <f t="shared" si="132"/>
        <v>0.39484815638014015</v>
      </c>
      <c r="BV66" s="14">
        <f t="shared" si="132"/>
        <v>0.39484815638014015</v>
      </c>
      <c r="BW66" s="14">
        <f t="shared" si="132"/>
        <v>0.39484815638014015</v>
      </c>
      <c r="BX66" s="14">
        <f t="shared" si="132"/>
        <v>0.39484815638014015</v>
      </c>
      <c r="BY66" s="14">
        <f t="shared" si="132"/>
        <v>0.39484815638014015</v>
      </c>
      <c r="BZ66" s="14">
        <f t="shared" si="132"/>
        <v>0.39484815638014015</v>
      </c>
      <c r="CA66" s="14">
        <f t="shared" si="132"/>
        <v>0.39484815638014015</v>
      </c>
      <c r="CB66" s="14">
        <f t="shared" si="132"/>
        <v>0.39484815638014015</v>
      </c>
      <c r="CC66" s="14">
        <f t="shared" si="132"/>
        <v>0.39484815638014015</v>
      </c>
      <c r="CD66" s="14">
        <f t="shared" si="132"/>
        <v>0.39484815638014015</v>
      </c>
      <c r="CE66" s="14">
        <f t="shared" si="132"/>
        <v>0.39484815638014015</v>
      </c>
      <c r="CF66" s="14">
        <f t="shared" si="132"/>
        <v>0.39484815638014015</v>
      </c>
      <c r="CG66" s="14">
        <f t="shared" si="132"/>
        <v>0.39484815638014015</v>
      </c>
      <c r="CH66" s="14">
        <f t="shared" si="132"/>
        <v>0.39484815638014015</v>
      </c>
      <c r="CI66" s="14">
        <f t="shared" si="132"/>
        <v>0.39484815638014015</v>
      </c>
      <c r="CJ66" s="14">
        <f t="shared" si="132"/>
        <v>0.39484815638014015</v>
      </c>
      <c r="CK66" s="14">
        <f t="shared" si="132"/>
        <v>0.39484815638014015</v>
      </c>
      <c r="CL66" s="14">
        <f t="shared" si="132"/>
        <v>0.39484815638014015</v>
      </c>
      <c r="CM66" s="14">
        <f t="shared" si="132"/>
        <v>0.39484815638014015</v>
      </c>
      <c r="CN66" s="14">
        <f t="shared" si="132"/>
        <v>0.39484815638014015</v>
      </c>
      <c r="CO66" s="14">
        <f t="shared" si="132"/>
        <v>0.39484815638014015</v>
      </c>
      <c r="CP66" s="14">
        <f t="shared" si="132"/>
        <v>0.39484815638014015</v>
      </c>
      <c r="CQ66" s="14">
        <f t="shared" si="132"/>
        <v>0.39484815638014015</v>
      </c>
      <c r="CR66" s="14">
        <f t="shared" si="132"/>
        <v>0.39484815638014015</v>
      </c>
      <c r="CS66" s="14">
        <f t="shared" si="132"/>
        <v>0.39484815638014015</v>
      </c>
      <c r="CT66" s="14">
        <f t="shared" si="132"/>
        <v>0.39484815638014015</v>
      </c>
      <c r="CU66" s="14">
        <f t="shared" si="132"/>
        <v>0.39484815638014015</v>
      </c>
      <c r="CW66" s="20"/>
      <c r="CX66" s="14">
        <f t="shared" si="133"/>
        <v>181.54555308595795</v>
      </c>
      <c r="CY66" s="14">
        <f t="shared" si="134"/>
        <v>169.20189688634443</v>
      </c>
      <c r="CZ66" s="14">
        <f t="shared" si="135"/>
        <v>156.97065261845617</v>
      </c>
      <c r="DA66" s="14">
        <f t="shared" si="136"/>
        <v>144.96200547026783</v>
      </c>
      <c r="DB66" s="14">
        <f t="shared" si="137"/>
        <v>133.28176975923159</v>
      </c>
      <c r="DC66" s="14">
        <f t="shared" si="138"/>
        <v>122.02940491399552</v>
      </c>
      <c r="DD66" s="14">
        <f t="shared" si="139"/>
        <v>111.29625922733631</v>
      </c>
      <c r="DE66" s="14">
        <f t="shared" si="140"/>
        <v>101.1640953139913</v>
      </c>
      <c r="DF66" s="14">
        <f t="shared" si="141"/>
        <v>91.70393468384394</v>
      </c>
      <c r="DG66" s="14">
        <f t="shared" si="142"/>
        <v>82.975240826577917</v>
      </c>
      <c r="DH66" s="14">
        <f t="shared" si="143"/>
        <v>75.025442075984671</v>
      </c>
      <c r="DI66" s="14">
        <f t="shared" si="144"/>
        <v>67.889778606456744</v>
      </c>
      <c r="DJ66" s="14">
        <f t="shared" si="145"/>
        <v>61.591443368458464</v>
      </c>
      <c r="DK66" s="14">
        <f t="shared" si="146"/>
        <v>56.141975487782275</v>
      </c>
      <c r="DL66" s="14">
        <f t="shared" si="147"/>
        <v>51.541857199525737</v>
      </c>
      <c r="DM66" s="14">
        <f t="shared" si="148"/>
        <v>47.781261966169318</v>
      </c>
      <c r="DN66" s="14">
        <f t="shared" si="149"/>
        <v>44.840901889609505</v>
      </c>
      <c r="DO66" s="14">
        <f t="shared" si="150"/>
        <v>42.692926404100426</v>
      </c>
      <c r="DP66" s="14">
        <f t="shared" si="151"/>
        <v>41.301830817414292</v>
      </c>
      <c r="DQ66" s="14">
        <f t="shared" si="152"/>
        <v>40.625341676344277</v>
      </c>
      <c r="DR66" s="14">
        <f t="shared" si="153"/>
        <v>40.61525522977005</v>
      </c>
      <c r="DS66" s="14">
        <f t="shared" si="154"/>
        <v>41.218214537720833</v>
      </c>
      <c r="DT66" s="14">
        <f t="shared" si="155"/>
        <v>42.376419233337643</v>
      </c>
      <c r="DU66" s="14">
        <f t="shared" si="156"/>
        <v>44.028268974055869</v>
      </c>
      <c r="DV66" s="14">
        <f t="shared" si="157"/>
        <v>46.108946832692951</v>
      </c>
      <c r="DW66" s="14">
        <f t="shared" si="158"/>
        <v>48.550952135870936</v>
      </c>
      <c r="DX66" s="14">
        <f t="shared" si="159"/>
        <v>51.284593647711297</v>
      </c>
      <c r="DY66" s="14">
        <f t="shared" si="160"/>
        <v>54.23845381259342</v>
      </c>
      <c r="DZ66" s="14">
        <f t="shared" si="161"/>
        <v>57.339833450550074</v>
      </c>
      <c r="EA66" s="14">
        <f t="shared" si="162"/>
        <v>60.51518436198598</v>
      </c>
    </row>
    <row r="67" spans="5:131" x14ac:dyDescent="0.25">
      <c r="E67" s="25"/>
      <c r="F67" s="6">
        <f t="shared" si="163"/>
        <v>300</v>
      </c>
      <c r="G67" s="6">
        <f t="shared" si="164"/>
        <v>279.60238189843892</v>
      </c>
      <c r="H67" s="6">
        <f t="shared" si="165"/>
        <v>259.39052202088465</v>
      </c>
      <c r="I67" s="6">
        <f t="shared" si="166"/>
        <v>239.54649894668265</v>
      </c>
      <c r="J67" s="6">
        <f t="shared" si="167"/>
        <v>220.24516848858121</v>
      </c>
      <c r="K67" s="6">
        <f t="shared" si="168"/>
        <v>201.65088514652385</v>
      </c>
      <c r="L67" s="6">
        <f t="shared" si="169"/>
        <v>183.91459994832243</v>
      </c>
      <c r="M67" s="6">
        <f t="shared" si="170"/>
        <v>167.17142380142838</v>
      </c>
      <c r="N67" s="6">
        <f t="shared" si="171"/>
        <v>151.53871817574745</v>
      </c>
      <c r="O67" s="6">
        <f t="shared" si="172"/>
        <v>137.11474516914922</v>
      </c>
      <c r="P67" s="6">
        <f t="shared" si="173"/>
        <v>123.9778790513173</v>
      </c>
      <c r="Q67" s="6">
        <f t="shared" si="174"/>
        <v>112.18635342884832</v>
      </c>
      <c r="R67" s="6">
        <f t="shared" si="175"/>
        <v>101.77849413799119</v>
      </c>
      <c r="S67" s="6">
        <f t="shared" si="176"/>
        <v>92.773369328193198</v>
      </c>
      <c r="T67" s="6">
        <f t="shared" si="177"/>
        <v>85.171775882257663</v>
      </c>
      <c r="U67" s="6">
        <f t="shared" si="178"/>
        <v>78.957475664874991</v>
      </c>
      <c r="V67" s="6">
        <f t="shared" si="179"/>
        <v>74.098595852212853</v>
      </c>
      <c r="W67" s="6">
        <f t="shared" si="180"/>
        <v>70.549114002070155</v>
      </c>
      <c r="X67" s="6">
        <f t="shared" si="181"/>
        <v>68.250359397994316</v>
      </c>
      <c r="Y67" s="6">
        <f t="shared" si="182"/>
        <v>67.132476096138319</v>
      </c>
      <c r="Z67" s="6">
        <f t="shared" si="183"/>
        <v>67.115808466880367</v>
      </c>
      <c r="AA67" s="6">
        <f t="shared" si="184"/>
        <v>68.112185350315173</v>
      </c>
      <c r="AB67" s="6">
        <f t="shared" si="185"/>
        <v>70.026092922154874</v>
      </c>
      <c r="AC67" s="6">
        <f t="shared" si="186"/>
        <v>72.755737982537227</v>
      </c>
      <c r="AD67" s="6">
        <f t="shared" si="187"/>
        <v>76.194011996859018</v>
      </c>
      <c r="AE67" s="6">
        <f t="shared" si="188"/>
        <v>80.229371599451568</v>
      </c>
      <c r="AF67" s="6">
        <f t="shared" si="189"/>
        <v>84.746653568698207</v>
      </c>
      <c r="AG67" s="6">
        <f t="shared" si="190"/>
        <v>89.62784197789631</v>
      </c>
      <c r="AH67" s="6">
        <f t="shared" si="191"/>
        <v>94.752803044535412</v>
      </c>
      <c r="AI67" s="6">
        <f t="shared" si="191"/>
        <v>100</v>
      </c>
      <c r="AK67" s="21"/>
      <c r="AL67" s="14">
        <f t="shared" si="192"/>
        <v>-1076400000</v>
      </c>
      <c r="AM67" s="14">
        <f t="shared" si="131"/>
        <v>-1003213346.2515988</v>
      </c>
      <c r="AN67" s="14">
        <f t="shared" si="131"/>
        <v>-930693193.01093411</v>
      </c>
      <c r="AO67" s="14">
        <f t="shared" si="131"/>
        <v>-859492838.2206974</v>
      </c>
      <c r="AP67" s="14">
        <f t="shared" si="131"/>
        <v>-790239664.53702939</v>
      </c>
      <c r="AQ67" s="14">
        <f t="shared" si="131"/>
        <v>-723523375.90572751</v>
      </c>
      <c r="AR67" s="14">
        <f t="shared" si="131"/>
        <v>-659885584.61458087</v>
      </c>
      <c r="AS67" s="14">
        <f t="shared" si="131"/>
        <v>-599811068.59952497</v>
      </c>
      <c r="AT67" s="14">
        <f t="shared" si="131"/>
        <v>-543720920.81458187</v>
      </c>
      <c r="AU67" s="14">
        <f t="shared" si="131"/>
        <v>-491967705.66690731</v>
      </c>
      <c r="AV67" s="14">
        <f t="shared" si="131"/>
        <v>-444832630.03612655</v>
      </c>
      <c r="AW67" s="14">
        <f t="shared" si="131"/>
        <v>-402524636.1027078</v>
      </c>
      <c r="AX67" s="14">
        <f t="shared" si="131"/>
        <v>-365181236.96711236</v>
      </c>
      <c r="AY67" s="14">
        <f t="shared" si="131"/>
        <v>-332870849.14955723</v>
      </c>
      <c r="AZ67" s="14">
        <f t="shared" si="131"/>
        <v>-305596331.86554044</v>
      </c>
      <c r="BA67" s="14">
        <f t="shared" si="131"/>
        <v>-283299422.68557149</v>
      </c>
      <c r="BB67" s="14">
        <f t="shared" si="131"/>
        <v>-265865761.91773966</v>
      </c>
      <c r="BC67" s="14">
        <f t="shared" si="131"/>
        <v>-253130221.03942776</v>
      </c>
      <c r="BD67" s="14">
        <f t="shared" si="131"/>
        <v>-244882289.52000362</v>
      </c>
      <c r="BE67" s="14">
        <f t="shared" si="131"/>
        <v>-240871324.23294434</v>
      </c>
      <c r="BF67" s="14">
        <f t="shared" si="131"/>
        <v>-240811520.7791667</v>
      </c>
      <c r="BG67" s="14">
        <f t="shared" si="131"/>
        <v>-244386521.03693083</v>
      </c>
      <c r="BH67" s="14">
        <f t="shared" si="131"/>
        <v>-251253621.40469173</v>
      </c>
      <c r="BI67" s="14">
        <f t="shared" si="131"/>
        <v>-261047587.88134357</v>
      </c>
      <c r="BJ67" s="14">
        <f t="shared" si="131"/>
        <v>-273384115.04473019</v>
      </c>
      <c r="BK67" s="14">
        <f t="shared" si="131"/>
        <v>-287862985.29883218</v>
      </c>
      <c r="BL67" s="14">
        <f t="shared" si="131"/>
        <v>-304070993.00448918</v>
      </c>
      <c r="BM67" s="14">
        <f t="shared" si="131"/>
        <v>-321584697.01669198</v>
      </c>
      <c r="BN67" s="14">
        <f t="shared" si="131"/>
        <v>-339973057.32379299</v>
      </c>
      <c r="BO67" s="14">
        <f t="shared" si="131"/>
        <v>-358800000</v>
      </c>
      <c r="BQ67" s="20"/>
      <c r="BR67" s="14">
        <f t="shared" si="193"/>
        <v>0.39484815638014015</v>
      </c>
      <c r="BS67" s="14">
        <f t="shared" si="132"/>
        <v>0.39484815638014015</v>
      </c>
      <c r="BT67" s="14">
        <f t="shared" si="132"/>
        <v>0.39484815638014015</v>
      </c>
      <c r="BU67" s="14">
        <f t="shared" si="132"/>
        <v>0.39484815638014015</v>
      </c>
      <c r="BV67" s="14">
        <f t="shared" si="132"/>
        <v>0.39484815638014015</v>
      </c>
      <c r="BW67" s="14">
        <f t="shared" si="132"/>
        <v>0.39484815638014015</v>
      </c>
      <c r="BX67" s="14">
        <f t="shared" si="132"/>
        <v>0.39484815638014015</v>
      </c>
      <c r="BY67" s="14">
        <f t="shared" si="132"/>
        <v>0.39484815638014015</v>
      </c>
      <c r="BZ67" s="14">
        <f t="shared" si="132"/>
        <v>0.39484815638014015</v>
      </c>
      <c r="CA67" s="14">
        <f t="shared" si="132"/>
        <v>0.39484815638014015</v>
      </c>
      <c r="CB67" s="14">
        <f t="shared" si="132"/>
        <v>0.39484815638014015</v>
      </c>
      <c r="CC67" s="14">
        <f t="shared" si="132"/>
        <v>0.39484815638014015</v>
      </c>
      <c r="CD67" s="14">
        <f t="shared" si="132"/>
        <v>0.39484815638014015</v>
      </c>
      <c r="CE67" s="14">
        <f t="shared" si="132"/>
        <v>0.39484815638014015</v>
      </c>
      <c r="CF67" s="14">
        <f t="shared" si="132"/>
        <v>0.39484815638014015</v>
      </c>
      <c r="CG67" s="14">
        <f t="shared" si="132"/>
        <v>0.39484815638014015</v>
      </c>
      <c r="CH67" s="14">
        <f t="shared" si="132"/>
        <v>0.39484815638014015</v>
      </c>
      <c r="CI67" s="14">
        <f t="shared" si="132"/>
        <v>0.39484815638014015</v>
      </c>
      <c r="CJ67" s="14">
        <f t="shared" si="132"/>
        <v>0.39484815638014015</v>
      </c>
      <c r="CK67" s="14">
        <f t="shared" si="132"/>
        <v>0.39484815638014015</v>
      </c>
      <c r="CL67" s="14">
        <f t="shared" si="132"/>
        <v>0.39484815638014015</v>
      </c>
      <c r="CM67" s="14">
        <f t="shared" si="132"/>
        <v>0.39484815638014015</v>
      </c>
      <c r="CN67" s="14">
        <f t="shared" si="132"/>
        <v>0.39484815638014015</v>
      </c>
      <c r="CO67" s="14">
        <f t="shared" si="132"/>
        <v>0.39484815638014015</v>
      </c>
      <c r="CP67" s="14">
        <f t="shared" si="132"/>
        <v>0.39484815638014015</v>
      </c>
      <c r="CQ67" s="14">
        <f t="shared" si="132"/>
        <v>0.39484815638014015</v>
      </c>
      <c r="CR67" s="14">
        <f t="shared" si="132"/>
        <v>0.39484815638014015</v>
      </c>
      <c r="CS67" s="14">
        <f t="shared" si="132"/>
        <v>0.39484815638014015</v>
      </c>
      <c r="CT67" s="14">
        <f t="shared" si="132"/>
        <v>0.39484815638014015</v>
      </c>
      <c r="CU67" s="14">
        <f t="shared" si="132"/>
        <v>0.39484815638014015</v>
      </c>
      <c r="CW67" s="20"/>
      <c r="CX67" s="14">
        <f t="shared" si="133"/>
        <v>181.54555308595795</v>
      </c>
      <c r="CY67" s="14">
        <f t="shared" si="134"/>
        <v>169.20189688634446</v>
      </c>
      <c r="CZ67" s="14">
        <f t="shared" si="135"/>
        <v>156.97065261845623</v>
      </c>
      <c r="DA67" s="14">
        <f t="shared" si="136"/>
        <v>144.96200547026783</v>
      </c>
      <c r="DB67" s="14">
        <f t="shared" si="137"/>
        <v>133.28176975923159</v>
      </c>
      <c r="DC67" s="14">
        <f t="shared" si="138"/>
        <v>122.02940491399552</v>
      </c>
      <c r="DD67" s="14">
        <f t="shared" si="139"/>
        <v>111.29625922733631</v>
      </c>
      <c r="DE67" s="14">
        <f t="shared" si="140"/>
        <v>101.1640953139913</v>
      </c>
      <c r="DF67" s="14">
        <f t="shared" si="141"/>
        <v>91.70393468384394</v>
      </c>
      <c r="DG67" s="14">
        <f t="shared" si="142"/>
        <v>82.975240826577917</v>
      </c>
      <c r="DH67" s="14">
        <f t="shared" si="143"/>
        <v>75.025442075984671</v>
      </c>
      <c r="DI67" s="14">
        <f t="shared" si="144"/>
        <v>67.889778606456744</v>
      </c>
      <c r="DJ67" s="14">
        <f t="shared" si="145"/>
        <v>61.591443368458464</v>
      </c>
      <c r="DK67" s="14">
        <f t="shared" si="146"/>
        <v>56.141975487782275</v>
      </c>
      <c r="DL67" s="14">
        <f t="shared" si="147"/>
        <v>51.541857199525737</v>
      </c>
      <c r="DM67" s="14">
        <f t="shared" si="148"/>
        <v>47.781261966169318</v>
      </c>
      <c r="DN67" s="14">
        <f t="shared" si="149"/>
        <v>44.840901889609505</v>
      </c>
      <c r="DO67" s="14">
        <f t="shared" si="150"/>
        <v>42.692926404100426</v>
      </c>
      <c r="DP67" s="14">
        <f t="shared" si="151"/>
        <v>41.301830817414292</v>
      </c>
      <c r="DQ67" s="14">
        <f t="shared" si="152"/>
        <v>40.625341676344277</v>
      </c>
      <c r="DR67" s="14">
        <f t="shared" si="153"/>
        <v>40.61525522977005</v>
      </c>
      <c r="DS67" s="14">
        <f t="shared" si="154"/>
        <v>41.218214537720833</v>
      </c>
      <c r="DT67" s="14">
        <f t="shared" si="155"/>
        <v>42.376419233337643</v>
      </c>
      <c r="DU67" s="14">
        <f t="shared" si="156"/>
        <v>44.028268974055869</v>
      </c>
      <c r="DV67" s="14">
        <f t="shared" si="157"/>
        <v>46.108946832692951</v>
      </c>
      <c r="DW67" s="14">
        <f t="shared" si="158"/>
        <v>48.550952135870936</v>
      </c>
      <c r="DX67" s="14">
        <f t="shared" si="159"/>
        <v>51.284593647711297</v>
      </c>
      <c r="DY67" s="14">
        <f t="shared" si="160"/>
        <v>54.23845381259342</v>
      </c>
      <c r="DZ67" s="14">
        <f t="shared" si="161"/>
        <v>57.339833450550074</v>
      </c>
      <c r="EA67" s="14">
        <f t="shared" si="162"/>
        <v>60.51518436198598</v>
      </c>
    </row>
    <row r="68" spans="5:131" x14ac:dyDescent="0.25">
      <c r="E68" s="25"/>
      <c r="F68" s="6">
        <f t="shared" si="163"/>
        <v>300</v>
      </c>
      <c r="G68" s="6">
        <f t="shared" si="164"/>
        <v>279.60238189843892</v>
      </c>
      <c r="H68" s="6">
        <f t="shared" si="165"/>
        <v>259.39052202088465</v>
      </c>
      <c r="I68" s="6">
        <f t="shared" si="166"/>
        <v>239.54649894668265</v>
      </c>
      <c r="J68" s="6">
        <f t="shared" si="167"/>
        <v>220.24516848858127</v>
      </c>
      <c r="K68" s="6">
        <f t="shared" si="168"/>
        <v>201.65088514652385</v>
      </c>
      <c r="L68" s="6">
        <f t="shared" si="169"/>
        <v>183.91459994832246</v>
      </c>
      <c r="M68" s="6">
        <f t="shared" si="170"/>
        <v>167.1714238014284</v>
      </c>
      <c r="N68" s="6">
        <f t="shared" si="171"/>
        <v>151.53871817574748</v>
      </c>
      <c r="O68" s="6">
        <f t="shared" si="172"/>
        <v>137.11474516914922</v>
      </c>
      <c r="P68" s="6">
        <f t="shared" si="173"/>
        <v>123.9778790513173</v>
      </c>
      <c r="Q68" s="6">
        <f t="shared" si="174"/>
        <v>112.18635342884832</v>
      </c>
      <c r="R68" s="6">
        <f t="shared" si="175"/>
        <v>101.77849413799119</v>
      </c>
      <c r="S68" s="6">
        <f t="shared" si="176"/>
        <v>92.773369328193198</v>
      </c>
      <c r="T68" s="6">
        <f t="shared" si="177"/>
        <v>85.171775882257663</v>
      </c>
      <c r="U68" s="6">
        <f t="shared" si="178"/>
        <v>78.957475664874991</v>
      </c>
      <c r="V68" s="6">
        <f t="shared" si="179"/>
        <v>74.098595852212853</v>
      </c>
      <c r="W68" s="6">
        <f t="shared" si="180"/>
        <v>70.549114002070155</v>
      </c>
      <c r="X68" s="6">
        <f t="shared" si="181"/>
        <v>68.250359397994316</v>
      </c>
      <c r="Y68" s="6">
        <f t="shared" si="182"/>
        <v>67.132476096138319</v>
      </c>
      <c r="Z68" s="6">
        <f t="shared" si="183"/>
        <v>67.115808466880367</v>
      </c>
      <c r="AA68" s="6">
        <f t="shared" si="184"/>
        <v>68.112185350315173</v>
      </c>
      <c r="AB68" s="6">
        <f t="shared" si="185"/>
        <v>70.026092922154874</v>
      </c>
      <c r="AC68" s="6">
        <f t="shared" si="186"/>
        <v>72.755737982537227</v>
      </c>
      <c r="AD68" s="6">
        <f t="shared" si="187"/>
        <v>76.194011996859018</v>
      </c>
      <c r="AE68" s="6">
        <f t="shared" si="188"/>
        <v>80.229371599451568</v>
      </c>
      <c r="AF68" s="6">
        <f t="shared" si="189"/>
        <v>84.746653568698207</v>
      </c>
      <c r="AG68" s="6">
        <f t="shared" si="190"/>
        <v>89.62784197789631</v>
      </c>
      <c r="AH68" s="6">
        <f t="shared" si="191"/>
        <v>94.752803044535412</v>
      </c>
      <c r="AI68" s="6">
        <f t="shared" si="191"/>
        <v>100</v>
      </c>
      <c r="AK68" s="21"/>
      <c r="AL68" s="14">
        <f t="shared" si="192"/>
        <v>-1076400000</v>
      </c>
      <c r="AM68" s="14">
        <f t="shared" si="131"/>
        <v>-1003213346.2515988</v>
      </c>
      <c r="AN68" s="14">
        <f t="shared" si="131"/>
        <v>-930693193.01093411</v>
      </c>
      <c r="AO68" s="14">
        <f t="shared" si="131"/>
        <v>-859492838.2206974</v>
      </c>
      <c r="AP68" s="14">
        <f t="shared" si="131"/>
        <v>-790239664.5370295</v>
      </c>
      <c r="AQ68" s="14">
        <f t="shared" si="131"/>
        <v>-723523375.90572751</v>
      </c>
      <c r="AR68" s="14">
        <f t="shared" si="131"/>
        <v>-659885584.61458099</v>
      </c>
      <c r="AS68" s="14">
        <f t="shared" si="131"/>
        <v>-599811068.59952509</v>
      </c>
      <c r="AT68" s="14">
        <f t="shared" si="131"/>
        <v>-543720920.81458199</v>
      </c>
      <c r="AU68" s="14">
        <f t="shared" si="131"/>
        <v>-491967705.66690731</v>
      </c>
      <c r="AV68" s="14">
        <f t="shared" si="131"/>
        <v>-444832630.03612655</v>
      </c>
      <c r="AW68" s="14">
        <f t="shared" si="131"/>
        <v>-402524636.1027078</v>
      </c>
      <c r="AX68" s="14">
        <f t="shared" si="131"/>
        <v>-365181236.96711236</v>
      </c>
      <c r="AY68" s="14">
        <f t="shared" si="131"/>
        <v>-332870849.14955723</v>
      </c>
      <c r="AZ68" s="14">
        <f t="shared" si="131"/>
        <v>-305596331.86554044</v>
      </c>
      <c r="BA68" s="14">
        <f t="shared" si="131"/>
        <v>-283299422.68557149</v>
      </c>
      <c r="BB68" s="14">
        <f t="shared" si="131"/>
        <v>-265865761.91773966</v>
      </c>
      <c r="BC68" s="14">
        <f t="shared" si="131"/>
        <v>-253130221.03942776</v>
      </c>
      <c r="BD68" s="14">
        <f t="shared" si="131"/>
        <v>-244882289.52000362</v>
      </c>
      <c r="BE68" s="14">
        <f t="shared" si="131"/>
        <v>-240871324.23294434</v>
      </c>
      <c r="BF68" s="14">
        <f t="shared" si="131"/>
        <v>-240811520.7791667</v>
      </c>
      <c r="BG68" s="14">
        <f t="shared" si="131"/>
        <v>-244386521.03693083</v>
      </c>
      <c r="BH68" s="14">
        <f t="shared" si="131"/>
        <v>-251253621.40469173</v>
      </c>
      <c r="BI68" s="14">
        <f t="shared" si="131"/>
        <v>-261047587.88134357</v>
      </c>
      <c r="BJ68" s="14">
        <f t="shared" si="131"/>
        <v>-273384115.04473019</v>
      </c>
      <c r="BK68" s="14">
        <f t="shared" si="131"/>
        <v>-287862985.29883218</v>
      </c>
      <c r="BL68" s="14">
        <f t="shared" si="131"/>
        <v>-304070993.00448918</v>
      </c>
      <c r="BM68" s="14">
        <f t="shared" si="131"/>
        <v>-321584697.01669198</v>
      </c>
      <c r="BN68" s="14">
        <f t="shared" si="131"/>
        <v>-339973057.32379299</v>
      </c>
      <c r="BO68" s="14">
        <f t="shared" si="131"/>
        <v>-358800000</v>
      </c>
      <c r="BQ68" s="20"/>
      <c r="BR68" s="14">
        <f t="shared" si="193"/>
        <v>0.39484815638014015</v>
      </c>
      <c r="BS68" s="14">
        <f t="shared" si="132"/>
        <v>0.39484815638014015</v>
      </c>
      <c r="BT68" s="14">
        <f t="shared" si="132"/>
        <v>0.39484815638014015</v>
      </c>
      <c r="BU68" s="14">
        <f t="shared" si="132"/>
        <v>0.39484815638014015</v>
      </c>
      <c r="BV68" s="14">
        <f t="shared" si="132"/>
        <v>0.39484815638014015</v>
      </c>
      <c r="BW68" s="14">
        <f t="shared" si="132"/>
        <v>0.39484815638014015</v>
      </c>
      <c r="BX68" s="14">
        <f t="shared" si="132"/>
        <v>0.39484815638014015</v>
      </c>
      <c r="BY68" s="14">
        <f t="shared" si="132"/>
        <v>0.39484815638014015</v>
      </c>
      <c r="BZ68" s="14">
        <f t="shared" si="132"/>
        <v>0.39484815638014015</v>
      </c>
      <c r="CA68" s="14">
        <f t="shared" si="132"/>
        <v>0.39484815638014015</v>
      </c>
      <c r="CB68" s="14">
        <f t="shared" si="132"/>
        <v>0.39484815638014015</v>
      </c>
      <c r="CC68" s="14">
        <f t="shared" si="132"/>
        <v>0.39484815638014015</v>
      </c>
      <c r="CD68" s="14">
        <f t="shared" si="132"/>
        <v>0.39484815638014015</v>
      </c>
      <c r="CE68" s="14">
        <f t="shared" si="132"/>
        <v>0.39484815638014015</v>
      </c>
      <c r="CF68" s="14">
        <f t="shared" si="132"/>
        <v>0.39484815638014015</v>
      </c>
      <c r="CG68" s="14">
        <f t="shared" si="132"/>
        <v>0.39484815638014015</v>
      </c>
      <c r="CH68" s="14">
        <f t="shared" si="132"/>
        <v>0.39484815638014015</v>
      </c>
      <c r="CI68" s="14">
        <f t="shared" si="132"/>
        <v>0.39484815638014015</v>
      </c>
      <c r="CJ68" s="14">
        <f t="shared" si="132"/>
        <v>0.39484815638014015</v>
      </c>
      <c r="CK68" s="14">
        <f t="shared" si="132"/>
        <v>0.39484815638014015</v>
      </c>
      <c r="CL68" s="14">
        <f t="shared" si="132"/>
        <v>0.39484815638014015</v>
      </c>
      <c r="CM68" s="14">
        <f t="shared" si="132"/>
        <v>0.39484815638014015</v>
      </c>
      <c r="CN68" s="14">
        <f t="shared" si="132"/>
        <v>0.39484815638014015</v>
      </c>
      <c r="CO68" s="14">
        <f t="shared" si="132"/>
        <v>0.39484815638014015</v>
      </c>
      <c r="CP68" s="14">
        <f t="shared" si="132"/>
        <v>0.39484815638014015</v>
      </c>
      <c r="CQ68" s="14">
        <f t="shared" si="132"/>
        <v>0.39484815638014015</v>
      </c>
      <c r="CR68" s="14">
        <f t="shared" si="132"/>
        <v>0.39484815638014015</v>
      </c>
      <c r="CS68" s="14">
        <f t="shared" si="132"/>
        <v>0.39484815638014015</v>
      </c>
      <c r="CT68" s="14">
        <f t="shared" si="132"/>
        <v>0.39484815638014015</v>
      </c>
      <c r="CU68" s="14">
        <f t="shared" si="132"/>
        <v>0.39484815638014015</v>
      </c>
      <c r="CW68" s="20"/>
      <c r="CX68" s="14">
        <f t="shared" si="133"/>
        <v>181.54555308595795</v>
      </c>
      <c r="CY68" s="14">
        <f t="shared" si="134"/>
        <v>169.20189688634446</v>
      </c>
      <c r="CZ68" s="14">
        <f t="shared" si="135"/>
        <v>156.97065261845623</v>
      </c>
      <c r="DA68" s="14">
        <f t="shared" si="136"/>
        <v>144.96200547026783</v>
      </c>
      <c r="DB68" s="14">
        <f t="shared" si="137"/>
        <v>133.28176975923162</v>
      </c>
      <c r="DC68" s="14">
        <f t="shared" si="138"/>
        <v>122.02940491399552</v>
      </c>
      <c r="DD68" s="14">
        <f t="shared" si="139"/>
        <v>111.29625922733632</v>
      </c>
      <c r="DE68" s="14">
        <f t="shared" si="140"/>
        <v>101.16409531399133</v>
      </c>
      <c r="DF68" s="14">
        <f t="shared" si="141"/>
        <v>91.703934683843968</v>
      </c>
      <c r="DG68" s="14">
        <f t="shared" si="142"/>
        <v>82.975240826577917</v>
      </c>
      <c r="DH68" s="14">
        <f t="shared" si="143"/>
        <v>75.025442075984671</v>
      </c>
      <c r="DI68" s="14">
        <f t="shared" si="144"/>
        <v>67.889778606456744</v>
      </c>
      <c r="DJ68" s="14">
        <f t="shared" si="145"/>
        <v>61.591443368458464</v>
      </c>
      <c r="DK68" s="14">
        <f t="shared" si="146"/>
        <v>56.141975487782275</v>
      </c>
      <c r="DL68" s="14">
        <f t="shared" si="147"/>
        <v>51.541857199525737</v>
      </c>
      <c r="DM68" s="14">
        <f t="shared" si="148"/>
        <v>47.781261966169318</v>
      </c>
      <c r="DN68" s="14">
        <f t="shared" si="149"/>
        <v>44.840901889609505</v>
      </c>
      <c r="DO68" s="14">
        <f t="shared" si="150"/>
        <v>42.692926404100426</v>
      </c>
      <c r="DP68" s="14">
        <f t="shared" si="151"/>
        <v>41.301830817414292</v>
      </c>
      <c r="DQ68" s="14">
        <f t="shared" si="152"/>
        <v>40.625341676344277</v>
      </c>
      <c r="DR68" s="14">
        <f t="shared" si="153"/>
        <v>40.61525522977005</v>
      </c>
      <c r="DS68" s="14">
        <f t="shared" si="154"/>
        <v>41.218214537720833</v>
      </c>
      <c r="DT68" s="14">
        <f t="shared" si="155"/>
        <v>42.376419233337643</v>
      </c>
      <c r="DU68" s="14">
        <f t="shared" si="156"/>
        <v>44.028268974055869</v>
      </c>
      <c r="DV68" s="14">
        <f t="shared" si="157"/>
        <v>46.108946832692951</v>
      </c>
      <c r="DW68" s="14">
        <f t="shared" si="158"/>
        <v>48.550952135870936</v>
      </c>
      <c r="DX68" s="14">
        <f t="shared" si="159"/>
        <v>51.284593647711297</v>
      </c>
      <c r="DY68" s="14">
        <f t="shared" si="160"/>
        <v>54.23845381259342</v>
      </c>
      <c r="DZ68" s="14">
        <f t="shared" si="161"/>
        <v>57.339833450550074</v>
      </c>
      <c r="EA68" s="14">
        <f t="shared" si="162"/>
        <v>60.51518436198598</v>
      </c>
    </row>
    <row r="69" spans="5:131" x14ac:dyDescent="0.25">
      <c r="E69" s="25"/>
      <c r="F69" s="6">
        <f t="shared" si="163"/>
        <v>300</v>
      </c>
      <c r="G69" s="6">
        <f t="shared" si="164"/>
        <v>279.60238189843892</v>
      </c>
      <c r="H69" s="6">
        <f t="shared" si="165"/>
        <v>259.39052202088465</v>
      </c>
      <c r="I69" s="6">
        <f t="shared" si="166"/>
        <v>239.54649894668265</v>
      </c>
      <c r="J69" s="6">
        <f t="shared" si="167"/>
        <v>220.24516848858127</v>
      </c>
      <c r="K69" s="6">
        <f t="shared" si="168"/>
        <v>201.65088514652385</v>
      </c>
      <c r="L69" s="6">
        <f t="shared" si="169"/>
        <v>183.91459994832246</v>
      </c>
      <c r="M69" s="6">
        <f t="shared" si="170"/>
        <v>167.1714238014284</v>
      </c>
      <c r="N69" s="6">
        <f t="shared" si="171"/>
        <v>151.53871817574748</v>
      </c>
      <c r="O69" s="6">
        <f t="shared" si="172"/>
        <v>137.11474516914922</v>
      </c>
      <c r="P69" s="6">
        <f t="shared" si="173"/>
        <v>123.97787905131733</v>
      </c>
      <c r="Q69" s="6">
        <f t="shared" si="174"/>
        <v>112.18635342884832</v>
      </c>
      <c r="R69" s="6">
        <f t="shared" si="175"/>
        <v>101.77849413799119</v>
      </c>
      <c r="S69" s="6">
        <f t="shared" si="176"/>
        <v>92.773369328193212</v>
      </c>
      <c r="T69" s="6">
        <f t="shared" si="177"/>
        <v>85.171775882257663</v>
      </c>
      <c r="U69" s="6">
        <f t="shared" si="178"/>
        <v>78.957475664874991</v>
      </c>
      <c r="V69" s="6">
        <f t="shared" si="179"/>
        <v>74.098595852212853</v>
      </c>
      <c r="W69" s="6">
        <f t="shared" si="180"/>
        <v>70.549114002070169</v>
      </c>
      <c r="X69" s="6">
        <f t="shared" si="181"/>
        <v>68.250359397994316</v>
      </c>
      <c r="Y69" s="6">
        <f t="shared" si="182"/>
        <v>67.132476096138319</v>
      </c>
      <c r="Z69" s="6">
        <f t="shared" si="183"/>
        <v>67.115808466880367</v>
      </c>
      <c r="AA69" s="6">
        <f t="shared" si="184"/>
        <v>68.112185350315173</v>
      </c>
      <c r="AB69" s="6">
        <f t="shared" si="185"/>
        <v>70.026092922154888</v>
      </c>
      <c r="AC69" s="6">
        <f t="shared" si="186"/>
        <v>72.755737982537227</v>
      </c>
      <c r="AD69" s="6">
        <f t="shared" si="187"/>
        <v>76.194011996859018</v>
      </c>
      <c r="AE69" s="6">
        <f t="shared" si="188"/>
        <v>80.229371599451568</v>
      </c>
      <c r="AF69" s="6">
        <f t="shared" si="189"/>
        <v>84.746653568698207</v>
      </c>
      <c r="AG69" s="6">
        <f t="shared" si="190"/>
        <v>89.62784197789631</v>
      </c>
      <c r="AH69" s="6">
        <f t="shared" si="191"/>
        <v>94.752803044535412</v>
      </c>
      <c r="AI69" s="6">
        <f t="shared" si="191"/>
        <v>100</v>
      </c>
      <c r="AK69" s="21"/>
      <c r="AL69" s="14">
        <f t="shared" si="192"/>
        <v>-1076400000</v>
      </c>
      <c r="AM69" s="14">
        <f t="shared" si="131"/>
        <v>-1003213346.2515988</v>
      </c>
      <c r="AN69" s="14">
        <f t="shared" si="131"/>
        <v>-930693193.01093411</v>
      </c>
      <c r="AO69" s="14">
        <f t="shared" si="131"/>
        <v>-859492838.2206974</v>
      </c>
      <c r="AP69" s="14">
        <f t="shared" si="131"/>
        <v>-790239664.5370295</v>
      </c>
      <c r="AQ69" s="14">
        <f t="shared" si="131"/>
        <v>-723523375.90572751</v>
      </c>
      <c r="AR69" s="14">
        <f t="shared" si="131"/>
        <v>-659885584.61458099</v>
      </c>
      <c r="AS69" s="14">
        <f t="shared" si="131"/>
        <v>-599811068.59952509</v>
      </c>
      <c r="AT69" s="14">
        <f t="shared" si="131"/>
        <v>-543720920.81458199</v>
      </c>
      <c r="AU69" s="14">
        <f t="shared" si="131"/>
        <v>-491967705.66690737</v>
      </c>
      <c r="AV69" s="14">
        <f t="shared" si="131"/>
        <v>-444832630.03612655</v>
      </c>
      <c r="AW69" s="14">
        <f t="shared" si="131"/>
        <v>-402524636.1027078</v>
      </c>
      <c r="AX69" s="14">
        <f t="shared" si="131"/>
        <v>-365181236.96711236</v>
      </c>
      <c r="AY69" s="14">
        <f t="shared" si="131"/>
        <v>-332870849.14955723</v>
      </c>
      <c r="AZ69" s="14">
        <f t="shared" si="131"/>
        <v>-305596331.86554044</v>
      </c>
      <c r="BA69" s="14">
        <f t="shared" si="131"/>
        <v>-283299422.68557149</v>
      </c>
      <c r="BB69" s="14">
        <f t="shared" si="131"/>
        <v>-265865761.91773966</v>
      </c>
      <c r="BC69" s="14">
        <f t="shared" si="131"/>
        <v>-253130221.03942776</v>
      </c>
      <c r="BD69" s="14">
        <f t="shared" si="131"/>
        <v>-244882289.52000362</v>
      </c>
      <c r="BE69" s="14">
        <f t="shared" si="131"/>
        <v>-240871324.23294434</v>
      </c>
      <c r="BF69" s="14">
        <f t="shared" si="131"/>
        <v>-240811520.7791667</v>
      </c>
      <c r="BG69" s="14">
        <f t="shared" si="131"/>
        <v>-244386521.03693083</v>
      </c>
      <c r="BH69" s="14">
        <f t="shared" si="131"/>
        <v>-251253621.40469173</v>
      </c>
      <c r="BI69" s="14">
        <f t="shared" si="131"/>
        <v>-261047587.88134357</v>
      </c>
      <c r="BJ69" s="14">
        <f t="shared" si="131"/>
        <v>-273384115.04473019</v>
      </c>
      <c r="BK69" s="14">
        <f t="shared" si="131"/>
        <v>-287862985.29883218</v>
      </c>
      <c r="BL69" s="14">
        <f t="shared" si="131"/>
        <v>-304070993.00448918</v>
      </c>
      <c r="BM69" s="14">
        <f t="shared" si="131"/>
        <v>-321584697.01669198</v>
      </c>
      <c r="BN69" s="14">
        <f t="shared" si="131"/>
        <v>-339973057.32379299</v>
      </c>
      <c r="BO69" s="14">
        <f t="shared" si="131"/>
        <v>-358800000</v>
      </c>
      <c r="BQ69" s="20"/>
      <c r="BR69" s="14">
        <f t="shared" si="193"/>
        <v>0.39484815638014015</v>
      </c>
      <c r="BS69" s="14">
        <f t="shared" si="132"/>
        <v>0.39484815638014015</v>
      </c>
      <c r="BT69" s="14">
        <f t="shared" si="132"/>
        <v>0.39484815638014015</v>
      </c>
      <c r="BU69" s="14">
        <f t="shared" si="132"/>
        <v>0.39484815638014015</v>
      </c>
      <c r="BV69" s="14">
        <f t="shared" si="132"/>
        <v>0.39484815638014015</v>
      </c>
      <c r="BW69" s="14">
        <f t="shared" si="132"/>
        <v>0.39484815638014015</v>
      </c>
      <c r="BX69" s="14">
        <f t="shared" si="132"/>
        <v>0.39484815638014015</v>
      </c>
      <c r="BY69" s="14">
        <f t="shared" si="132"/>
        <v>0.39484815638014015</v>
      </c>
      <c r="BZ69" s="14">
        <f t="shared" si="132"/>
        <v>0.39484815638014015</v>
      </c>
      <c r="CA69" s="14">
        <f t="shared" si="132"/>
        <v>0.39484815638014015</v>
      </c>
      <c r="CB69" s="14">
        <f t="shared" si="132"/>
        <v>0.39484815638014015</v>
      </c>
      <c r="CC69" s="14">
        <f t="shared" si="132"/>
        <v>0.39484815638014015</v>
      </c>
      <c r="CD69" s="14">
        <f t="shared" si="132"/>
        <v>0.39484815638014015</v>
      </c>
      <c r="CE69" s="14">
        <f t="shared" si="132"/>
        <v>0.39484815638014015</v>
      </c>
      <c r="CF69" s="14">
        <f t="shared" si="132"/>
        <v>0.39484815638014015</v>
      </c>
      <c r="CG69" s="14">
        <f t="shared" si="132"/>
        <v>0.39484815638014015</v>
      </c>
      <c r="CH69" s="14">
        <f t="shared" si="132"/>
        <v>0.39484815638014015</v>
      </c>
      <c r="CI69" s="14">
        <f t="shared" si="132"/>
        <v>0.39484815638014015</v>
      </c>
      <c r="CJ69" s="14">
        <f t="shared" si="132"/>
        <v>0.39484815638014015</v>
      </c>
      <c r="CK69" s="14">
        <f t="shared" si="132"/>
        <v>0.39484815638014015</v>
      </c>
      <c r="CL69" s="14">
        <f t="shared" si="132"/>
        <v>0.39484815638014015</v>
      </c>
      <c r="CM69" s="14">
        <f t="shared" si="132"/>
        <v>0.39484815638014015</v>
      </c>
      <c r="CN69" s="14">
        <f t="shared" si="132"/>
        <v>0.39484815638014015</v>
      </c>
      <c r="CO69" s="14">
        <f t="shared" si="132"/>
        <v>0.39484815638014015</v>
      </c>
      <c r="CP69" s="14">
        <f t="shared" si="132"/>
        <v>0.39484815638014015</v>
      </c>
      <c r="CQ69" s="14">
        <f t="shared" si="132"/>
        <v>0.39484815638014015</v>
      </c>
      <c r="CR69" s="14">
        <f t="shared" si="132"/>
        <v>0.39484815638014015</v>
      </c>
      <c r="CS69" s="14">
        <f t="shared" si="132"/>
        <v>0.39484815638014015</v>
      </c>
      <c r="CT69" s="14">
        <f t="shared" si="132"/>
        <v>0.39484815638014015</v>
      </c>
      <c r="CU69" s="14">
        <f t="shared" si="132"/>
        <v>0.39484815638014015</v>
      </c>
      <c r="CW69" s="20"/>
      <c r="CX69" s="14">
        <f t="shared" si="133"/>
        <v>181.54555308595795</v>
      </c>
      <c r="CY69" s="14">
        <f t="shared" si="134"/>
        <v>169.20189688634446</v>
      </c>
      <c r="CZ69" s="14">
        <f t="shared" si="135"/>
        <v>156.97065261845623</v>
      </c>
      <c r="DA69" s="14">
        <f t="shared" si="136"/>
        <v>144.96200547026783</v>
      </c>
      <c r="DB69" s="14">
        <f t="shared" si="137"/>
        <v>133.28176975923162</v>
      </c>
      <c r="DC69" s="14">
        <f t="shared" si="138"/>
        <v>122.02940491399552</v>
      </c>
      <c r="DD69" s="14">
        <f t="shared" si="139"/>
        <v>111.29625922733632</v>
      </c>
      <c r="DE69" s="14">
        <f t="shared" si="140"/>
        <v>101.16409531399133</v>
      </c>
      <c r="DF69" s="14">
        <f t="shared" si="141"/>
        <v>91.703934683843968</v>
      </c>
      <c r="DG69" s="14">
        <f t="shared" si="142"/>
        <v>82.975240826577917</v>
      </c>
      <c r="DH69" s="14">
        <f t="shared" si="143"/>
        <v>75.025442075984685</v>
      </c>
      <c r="DI69" s="14">
        <f t="shared" si="144"/>
        <v>67.889778606456744</v>
      </c>
      <c r="DJ69" s="14">
        <f t="shared" si="145"/>
        <v>61.591443368458464</v>
      </c>
      <c r="DK69" s="14">
        <f t="shared" si="146"/>
        <v>56.141975487782283</v>
      </c>
      <c r="DL69" s="14">
        <f t="shared" si="147"/>
        <v>51.541857199525737</v>
      </c>
      <c r="DM69" s="14">
        <f t="shared" si="148"/>
        <v>47.781261966169325</v>
      </c>
      <c r="DN69" s="14">
        <f t="shared" si="149"/>
        <v>44.840901889609505</v>
      </c>
      <c r="DO69" s="14">
        <f t="shared" si="150"/>
        <v>42.692926404100433</v>
      </c>
      <c r="DP69" s="14">
        <f t="shared" si="151"/>
        <v>41.301830817414292</v>
      </c>
      <c r="DQ69" s="14">
        <f t="shared" si="152"/>
        <v>40.625341676344277</v>
      </c>
      <c r="DR69" s="14">
        <f t="shared" si="153"/>
        <v>40.61525522977005</v>
      </c>
      <c r="DS69" s="14">
        <f t="shared" si="154"/>
        <v>41.218214537720833</v>
      </c>
      <c r="DT69" s="14">
        <f t="shared" si="155"/>
        <v>42.37641923333765</v>
      </c>
      <c r="DU69" s="14">
        <f t="shared" si="156"/>
        <v>44.028268974055869</v>
      </c>
      <c r="DV69" s="14">
        <f t="shared" si="157"/>
        <v>46.108946832692958</v>
      </c>
      <c r="DW69" s="14">
        <f t="shared" si="158"/>
        <v>48.550952135870936</v>
      </c>
      <c r="DX69" s="14">
        <f t="shared" si="159"/>
        <v>51.284593647711297</v>
      </c>
      <c r="DY69" s="14">
        <f t="shared" si="160"/>
        <v>54.238453812593427</v>
      </c>
      <c r="DZ69" s="14">
        <f t="shared" si="161"/>
        <v>57.339833450550074</v>
      </c>
      <c r="EA69" s="14">
        <f t="shared" si="162"/>
        <v>60.51518436198598</v>
      </c>
    </row>
    <row r="70" spans="5:131" x14ac:dyDescent="0.25">
      <c r="E70" s="25"/>
      <c r="F70" s="6">
        <f t="shared" si="163"/>
        <v>300</v>
      </c>
      <c r="G70" s="6">
        <f t="shared" si="164"/>
        <v>279.60238189843892</v>
      </c>
      <c r="H70" s="6">
        <f t="shared" si="165"/>
        <v>259.39052202088465</v>
      </c>
      <c r="I70" s="6">
        <f t="shared" si="166"/>
        <v>239.54649894668268</v>
      </c>
      <c r="J70" s="6">
        <f t="shared" si="167"/>
        <v>220.24516848858127</v>
      </c>
      <c r="K70" s="6">
        <f t="shared" si="168"/>
        <v>201.65088514652388</v>
      </c>
      <c r="L70" s="6">
        <f t="shared" si="169"/>
        <v>183.91459994832246</v>
      </c>
      <c r="M70" s="6">
        <f t="shared" si="170"/>
        <v>167.17142380142843</v>
      </c>
      <c r="N70" s="6">
        <f t="shared" si="171"/>
        <v>151.53871817574748</v>
      </c>
      <c r="O70" s="6">
        <f t="shared" si="172"/>
        <v>137.11474516914922</v>
      </c>
      <c r="P70" s="6">
        <f t="shared" si="173"/>
        <v>123.97787905131734</v>
      </c>
      <c r="Q70" s="6">
        <f t="shared" si="174"/>
        <v>112.18635342884834</v>
      </c>
      <c r="R70" s="6">
        <f t="shared" si="175"/>
        <v>101.7784941379912</v>
      </c>
      <c r="S70" s="6">
        <f t="shared" si="176"/>
        <v>92.773369328193226</v>
      </c>
      <c r="T70" s="6">
        <f t="shared" si="177"/>
        <v>85.171775882257677</v>
      </c>
      <c r="U70" s="6">
        <f t="shared" si="178"/>
        <v>78.957475664875005</v>
      </c>
      <c r="V70" s="6">
        <f t="shared" si="179"/>
        <v>74.098595852212853</v>
      </c>
      <c r="W70" s="6">
        <f t="shared" si="180"/>
        <v>70.549114002070183</v>
      </c>
      <c r="X70" s="6">
        <f t="shared" si="181"/>
        <v>68.25035939799433</v>
      </c>
      <c r="Y70" s="6">
        <f t="shared" si="182"/>
        <v>67.132476096138333</v>
      </c>
      <c r="Z70" s="6">
        <f t="shared" si="183"/>
        <v>67.115808466880367</v>
      </c>
      <c r="AA70" s="6">
        <f t="shared" si="184"/>
        <v>68.112185350315173</v>
      </c>
      <c r="AB70" s="6">
        <f t="shared" si="185"/>
        <v>70.026092922154902</v>
      </c>
      <c r="AC70" s="6">
        <f t="shared" si="186"/>
        <v>72.755737982537241</v>
      </c>
      <c r="AD70" s="6">
        <f t="shared" si="187"/>
        <v>76.194011996859032</v>
      </c>
      <c r="AE70" s="6">
        <f t="shared" si="188"/>
        <v>80.229371599451568</v>
      </c>
      <c r="AF70" s="6">
        <f t="shared" si="189"/>
        <v>84.746653568698207</v>
      </c>
      <c r="AG70" s="6">
        <f t="shared" si="190"/>
        <v>89.627841977896324</v>
      </c>
      <c r="AH70" s="6">
        <f t="shared" si="191"/>
        <v>94.752803044535412</v>
      </c>
      <c r="AI70" s="6">
        <f t="shared" si="191"/>
        <v>100</v>
      </c>
      <c r="AK70" s="21"/>
      <c r="AL70" s="14">
        <f t="shared" si="192"/>
        <v>-1076400000</v>
      </c>
      <c r="AM70" s="14">
        <f t="shared" si="131"/>
        <v>-1003213346.2515988</v>
      </c>
      <c r="AN70" s="14">
        <f t="shared" si="131"/>
        <v>-930693193.01093411</v>
      </c>
      <c r="AO70" s="14">
        <f t="shared" si="131"/>
        <v>-859492838.2206974</v>
      </c>
      <c r="AP70" s="14">
        <f t="shared" si="131"/>
        <v>-790239664.5370295</v>
      </c>
      <c r="AQ70" s="14">
        <f t="shared" si="131"/>
        <v>-723523375.90572751</v>
      </c>
      <c r="AR70" s="14">
        <f t="shared" si="131"/>
        <v>-659885584.61458099</v>
      </c>
      <c r="AS70" s="14">
        <f t="shared" si="131"/>
        <v>-599811068.59952521</v>
      </c>
      <c r="AT70" s="14">
        <f t="shared" si="131"/>
        <v>-543720920.81458199</v>
      </c>
      <c r="AU70" s="14">
        <f t="shared" si="131"/>
        <v>-491967705.66690737</v>
      </c>
      <c r="AV70" s="14">
        <f t="shared" si="131"/>
        <v>-444832630.03612655</v>
      </c>
      <c r="AW70" s="14">
        <f t="shared" si="131"/>
        <v>-402524636.1027078</v>
      </c>
      <c r="AX70" s="14">
        <f t="shared" si="131"/>
        <v>-365181236.96711236</v>
      </c>
      <c r="AY70" s="14">
        <f t="shared" si="131"/>
        <v>-332870849.14955723</v>
      </c>
      <c r="AZ70" s="14">
        <f t="shared" si="131"/>
        <v>-305596331.8655405</v>
      </c>
      <c r="BA70" s="14">
        <f t="shared" si="131"/>
        <v>-283299422.68557149</v>
      </c>
      <c r="BB70" s="14">
        <f t="shared" si="131"/>
        <v>-265865761.91773966</v>
      </c>
      <c r="BC70" s="14">
        <f t="shared" si="131"/>
        <v>-253130221.03942776</v>
      </c>
      <c r="BD70" s="14">
        <f t="shared" si="131"/>
        <v>-244882289.52000362</v>
      </c>
      <c r="BE70" s="14">
        <f t="shared" si="131"/>
        <v>-240871324.23294434</v>
      </c>
      <c r="BF70" s="14">
        <f t="shared" si="131"/>
        <v>-240811520.7791667</v>
      </c>
      <c r="BG70" s="14">
        <f t="shared" si="131"/>
        <v>-244386521.03693083</v>
      </c>
      <c r="BH70" s="14">
        <f t="shared" si="131"/>
        <v>-251253621.40469179</v>
      </c>
      <c r="BI70" s="14">
        <f t="shared" si="131"/>
        <v>-261047587.88134366</v>
      </c>
      <c r="BJ70" s="14">
        <f t="shared" si="131"/>
        <v>-273384115.04473025</v>
      </c>
      <c r="BK70" s="14">
        <f t="shared" si="131"/>
        <v>-287862985.29883218</v>
      </c>
      <c r="BL70" s="14">
        <f t="shared" si="131"/>
        <v>-304070993.00448924</v>
      </c>
      <c r="BM70" s="14">
        <f t="shared" si="131"/>
        <v>-321584697.01669204</v>
      </c>
      <c r="BN70" s="14">
        <f t="shared" si="131"/>
        <v>-339973057.32379299</v>
      </c>
      <c r="BO70" s="14">
        <f t="shared" si="131"/>
        <v>-358800000</v>
      </c>
      <c r="BQ70" s="20"/>
      <c r="BR70" s="14">
        <f t="shared" si="193"/>
        <v>0.39484815638014015</v>
      </c>
      <c r="BS70" s="14">
        <f t="shared" si="132"/>
        <v>0.39484815638014015</v>
      </c>
      <c r="BT70" s="14">
        <f t="shared" si="132"/>
        <v>0.39484815638014015</v>
      </c>
      <c r="BU70" s="14">
        <f t="shared" si="132"/>
        <v>0.39484815638014015</v>
      </c>
      <c r="BV70" s="14">
        <f t="shared" si="132"/>
        <v>0.39484815638014015</v>
      </c>
      <c r="BW70" s="14">
        <f t="shared" si="132"/>
        <v>0.39484815638014015</v>
      </c>
      <c r="BX70" s="14">
        <f t="shared" si="132"/>
        <v>0.39484815638014015</v>
      </c>
      <c r="BY70" s="14">
        <f t="shared" si="132"/>
        <v>0.39484815638014015</v>
      </c>
      <c r="BZ70" s="14">
        <f t="shared" si="132"/>
        <v>0.39484815638014015</v>
      </c>
      <c r="CA70" s="14">
        <f t="shared" si="132"/>
        <v>0.39484815638014015</v>
      </c>
      <c r="CB70" s="14">
        <f t="shared" si="132"/>
        <v>0.39484815638014015</v>
      </c>
      <c r="CC70" s="14">
        <f t="shared" si="132"/>
        <v>0.39484815638014015</v>
      </c>
      <c r="CD70" s="14">
        <f t="shared" si="132"/>
        <v>0.39484815638014015</v>
      </c>
      <c r="CE70" s="14">
        <f t="shared" si="132"/>
        <v>0.39484815638014015</v>
      </c>
      <c r="CF70" s="14">
        <f t="shared" si="132"/>
        <v>0.39484815638014015</v>
      </c>
      <c r="CG70" s="14">
        <f t="shared" si="132"/>
        <v>0.39484815638014015</v>
      </c>
      <c r="CH70" s="14">
        <f t="shared" si="132"/>
        <v>0.39484815638014015</v>
      </c>
      <c r="CI70" s="14">
        <f t="shared" si="132"/>
        <v>0.39484815638014015</v>
      </c>
      <c r="CJ70" s="14">
        <f t="shared" si="132"/>
        <v>0.39484815638014015</v>
      </c>
      <c r="CK70" s="14">
        <f t="shared" si="132"/>
        <v>0.39484815638014015</v>
      </c>
      <c r="CL70" s="14">
        <f t="shared" si="132"/>
        <v>0.39484815638014015</v>
      </c>
      <c r="CM70" s="14">
        <f t="shared" si="132"/>
        <v>0.39484815638014015</v>
      </c>
      <c r="CN70" s="14">
        <f t="shared" si="132"/>
        <v>0.39484815638014015</v>
      </c>
      <c r="CO70" s="14">
        <f t="shared" si="132"/>
        <v>0.39484815638014015</v>
      </c>
      <c r="CP70" s="14">
        <f t="shared" si="132"/>
        <v>0.39484815638014015</v>
      </c>
      <c r="CQ70" s="14">
        <f t="shared" si="132"/>
        <v>0.39484815638014015</v>
      </c>
      <c r="CR70" s="14">
        <f t="shared" si="132"/>
        <v>0.39484815638014015</v>
      </c>
      <c r="CS70" s="14">
        <f t="shared" si="132"/>
        <v>0.39484815638014015</v>
      </c>
      <c r="CT70" s="14">
        <f t="shared" si="132"/>
        <v>0.39484815638014015</v>
      </c>
      <c r="CU70" s="14">
        <f t="shared" si="132"/>
        <v>0.39484815638014015</v>
      </c>
      <c r="CW70" s="20"/>
      <c r="CX70" s="14">
        <f t="shared" si="133"/>
        <v>181.54555308595795</v>
      </c>
      <c r="CY70" s="14">
        <f t="shared" si="134"/>
        <v>169.20189688634446</v>
      </c>
      <c r="CZ70" s="14">
        <f t="shared" si="135"/>
        <v>156.97065261845623</v>
      </c>
      <c r="DA70" s="14">
        <f t="shared" si="136"/>
        <v>144.96200547026785</v>
      </c>
      <c r="DB70" s="14">
        <f t="shared" si="137"/>
        <v>133.28176975923162</v>
      </c>
      <c r="DC70" s="14">
        <f t="shared" si="138"/>
        <v>122.02940491399553</v>
      </c>
      <c r="DD70" s="14">
        <f t="shared" si="139"/>
        <v>111.29625922733632</v>
      </c>
      <c r="DE70" s="14">
        <f t="shared" si="140"/>
        <v>101.16409531399135</v>
      </c>
      <c r="DF70" s="14">
        <f t="shared" si="141"/>
        <v>91.703934683843968</v>
      </c>
      <c r="DG70" s="14">
        <f t="shared" si="142"/>
        <v>82.975240826577931</v>
      </c>
      <c r="DH70" s="14">
        <f t="shared" si="143"/>
        <v>75.025442075984699</v>
      </c>
      <c r="DI70" s="14">
        <f t="shared" si="144"/>
        <v>67.889778606456758</v>
      </c>
      <c r="DJ70" s="14">
        <f t="shared" si="145"/>
        <v>61.591443368458478</v>
      </c>
      <c r="DK70" s="14">
        <f t="shared" si="146"/>
        <v>56.141975487782297</v>
      </c>
      <c r="DL70" s="14">
        <f t="shared" si="147"/>
        <v>51.541857199525751</v>
      </c>
      <c r="DM70" s="14">
        <f t="shared" si="148"/>
        <v>47.781261966169332</v>
      </c>
      <c r="DN70" s="14">
        <f t="shared" si="149"/>
        <v>44.840901889609505</v>
      </c>
      <c r="DO70" s="14">
        <f t="shared" si="150"/>
        <v>42.69292640410044</v>
      </c>
      <c r="DP70" s="14">
        <f t="shared" si="151"/>
        <v>41.301830817414299</v>
      </c>
      <c r="DQ70" s="14">
        <f t="shared" si="152"/>
        <v>40.625341676344284</v>
      </c>
      <c r="DR70" s="14">
        <f t="shared" si="153"/>
        <v>40.61525522977005</v>
      </c>
      <c r="DS70" s="14">
        <f t="shared" si="154"/>
        <v>41.21821453772084</v>
      </c>
      <c r="DT70" s="14">
        <f t="shared" si="155"/>
        <v>42.376419233337657</v>
      </c>
      <c r="DU70" s="14">
        <f t="shared" si="156"/>
        <v>44.028268974055877</v>
      </c>
      <c r="DV70" s="14">
        <f t="shared" si="157"/>
        <v>46.108946832692965</v>
      </c>
      <c r="DW70" s="14">
        <f t="shared" si="158"/>
        <v>48.550952135870936</v>
      </c>
      <c r="DX70" s="14">
        <f t="shared" si="159"/>
        <v>51.284593647711304</v>
      </c>
      <c r="DY70" s="14">
        <f t="shared" si="160"/>
        <v>54.238453812593434</v>
      </c>
      <c r="DZ70" s="14">
        <f t="shared" si="161"/>
        <v>57.339833450550074</v>
      </c>
      <c r="EA70" s="14">
        <f t="shared" si="162"/>
        <v>60.51518436198598</v>
      </c>
    </row>
    <row r="71" spans="5:131" x14ac:dyDescent="0.25">
      <c r="E71" s="25"/>
      <c r="F71" s="6">
        <f t="shared" si="163"/>
        <v>300</v>
      </c>
      <c r="G71" s="6">
        <f t="shared" si="164"/>
        <v>279.60238189843892</v>
      </c>
      <c r="H71" s="6">
        <f t="shared" si="165"/>
        <v>259.39052202088465</v>
      </c>
      <c r="I71" s="6">
        <f t="shared" si="166"/>
        <v>239.54649894668273</v>
      </c>
      <c r="J71" s="6">
        <f t="shared" si="167"/>
        <v>220.2451684885813</v>
      </c>
      <c r="K71" s="6">
        <f t="shared" si="168"/>
        <v>201.65088514652393</v>
      </c>
      <c r="L71" s="6">
        <f t="shared" si="169"/>
        <v>183.91459994832252</v>
      </c>
      <c r="M71" s="6">
        <f t="shared" si="170"/>
        <v>167.17142380142849</v>
      </c>
      <c r="N71" s="6">
        <f t="shared" si="171"/>
        <v>151.53871817574753</v>
      </c>
      <c r="O71" s="6">
        <f t="shared" si="172"/>
        <v>137.11474516914924</v>
      </c>
      <c r="P71" s="6">
        <f t="shared" si="173"/>
        <v>123.97787905131739</v>
      </c>
      <c r="Q71" s="6">
        <f t="shared" si="174"/>
        <v>112.18635342884835</v>
      </c>
      <c r="R71" s="6">
        <f t="shared" si="175"/>
        <v>101.77849413799122</v>
      </c>
      <c r="S71" s="6">
        <f t="shared" si="176"/>
        <v>92.77336932819324</v>
      </c>
      <c r="T71" s="6">
        <f t="shared" si="177"/>
        <v>85.171775882257691</v>
      </c>
      <c r="U71" s="6">
        <f t="shared" si="178"/>
        <v>78.957475664875034</v>
      </c>
      <c r="V71" s="6">
        <f t="shared" si="179"/>
        <v>74.098595852212867</v>
      </c>
      <c r="W71" s="6">
        <f t="shared" si="180"/>
        <v>70.549114002070183</v>
      </c>
      <c r="X71" s="6">
        <f t="shared" si="181"/>
        <v>68.250359397994345</v>
      </c>
      <c r="Y71" s="6">
        <f t="shared" si="182"/>
        <v>67.132476096138333</v>
      </c>
      <c r="Z71" s="6">
        <f t="shared" si="183"/>
        <v>67.115808466880367</v>
      </c>
      <c r="AA71" s="6">
        <f t="shared" si="184"/>
        <v>68.112185350315187</v>
      </c>
      <c r="AB71" s="6">
        <f t="shared" si="185"/>
        <v>70.026092922154902</v>
      </c>
      <c r="AC71" s="6">
        <f t="shared" si="186"/>
        <v>72.755737982537255</v>
      </c>
      <c r="AD71" s="6">
        <f t="shared" si="187"/>
        <v>76.194011996859047</v>
      </c>
      <c r="AE71" s="6">
        <f t="shared" si="188"/>
        <v>80.229371599451568</v>
      </c>
      <c r="AF71" s="6">
        <f t="shared" si="189"/>
        <v>84.746653568698207</v>
      </c>
      <c r="AG71" s="6">
        <f t="shared" si="190"/>
        <v>89.627841977896338</v>
      </c>
      <c r="AH71" s="6">
        <f t="shared" si="191"/>
        <v>94.752803044535412</v>
      </c>
      <c r="AI71" s="6">
        <f t="shared" si="191"/>
        <v>100</v>
      </c>
      <c r="AK71" s="21"/>
      <c r="AL71" s="14">
        <f t="shared" si="192"/>
        <v>-1076400000</v>
      </c>
      <c r="AM71" s="14">
        <f t="shared" si="131"/>
        <v>-1003213346.2515988</v>
      </c>
      <c r="AN71" s="14">
        <f t="shared" si="131"/>
        <v>-930693193.01093411</v>
      </c>
      <c r="AO71" s="14">
        <f t="shared" si="131"/>
        <v>-859492838.22069764</v>
      </c>
      <c r="AP71" s="14">
        <f t="shared" si="131"/>
        <v>-790239664.53702986</v>
      </c>
      <c r="AQ71" s="14">
        <f t="shared" si="131"/>
        <v>-723523375.90572786</v>
      </c>
      <c r="AR71" s="14">
        <f t="shared" si="131"/>
        <v>-659885584.61458123</v>
      </c>
      <c r="AS71" s="14">
        <f t="shared" si="131"/>
        <v>-599811068.59952545</v>
      </c>
      <c r="AT71" s="14">
        <f t="shared" si="131"/>
        <v>-543720920.81458211</v>
      </c>
      <c r="AU71" s="14">
        <f t="shared" si="131"/>
        <v>-491967705.66690761</v>
      </c>
      <c r="AV71" s="14">
        <f t="shared" si="131"/>
        <v>-444832630.03612679</v>
      </c>
      <c r="AW71" s="14">
        <f t="shared" si="131"/>
        <v>-402524636.10270786</v>
      </c>
      <c r="AX71" s="14">
        <f t="shared" si="131"/>
        <v>-365181236.96711248</v>
      </c>
      <c r="AY71" s="14">
        <f t="shared" si="131"/>
        <v>-332870849.14955735</v>
      </c>
      <c r="AZ71" s="14">
        <f t="shared" si="131"/>
        <v>-305596331.86554062</v>
      </c>
      <c r="BA71" s="14">
        <f t="shared" si="131"/>
        <v>-283299422.68557161</v>
      </c>
      <c r="BB71" s="14">
        <f t="shared" si="131"/>
        <v>-265865761.91773972</v>
      </c>
      <c r="BC71" s="14">
        <f t="shared" si="131"/>
        <v>-253130221.03942782</v>
      </c>
      <c r="BD71" s="14">
        <f t="shared" si="131"/>
        <v>-244882289.52000365</v>
      </c>
      <c r="BE71" s="14">
        <f t="shared" si="131"/>
        <v>-240871324.23294434</v>
      </c>
      <c r="BF71" s="14">
        <f t="shared" si="131"/>
        <v>-240811520.7791667</v>
      </c>
      <c r="BG71" s="14">
        <f t="shared" si="131"/>
        <v>-244386521.03693083</v>
      </c>
      <c r="BH71" s="14">
        <f t="shared" si="131"/>
        <v>-251253621.40469179</v>
      </c>
      <c r="BI71" s="14">
        <f t="shared" si="131"/>
        <v>-261047587.88134366</v>
      </c>
      <c r="BJ71" s="14">
        <f t="shared" si="131"/>
        <v>-273384115.04473025</v>
      </c>
      <c r="BK71" s="14">
        <f t="shared" si="131"/>
        <v>-287862985.29883218</v>
      </c>
      <c r="BL71" s="14">
        <f t="shared" si="131"/>
        <v>-304070993.00448924</v>
      </c>
      <c r="BM71" s="14">
        <f t="shared" si="131"/>
        <v>-321584697.01669204</v>
      </c>
      <c r="BN71" s="14">
        <f t="shared" si="131"/>
        <v>-339973057.32379299</v>
      </c>
      <c r="BO71" s="14">
        <f t="shared" si="131"/>
        <v>-358800000</v>
      </c>
      <c r="BQ71" s="20"/>
      <c r="BR71" s="14">
        <f t="shared" si="193"/>
        <v>0.39484815638014015</v>
      </c>
      <c r="BS71" s="14">
        <f t="shared" si="132"/>
        <v>0.39484815638014015</v>
      </c>
      <c r="BT71" s="14">
        <f t="shared" si="132"/>
        <v>0.39484815638014015</v>
      </c>
      <c r="BU71" s="14">
        <f t="shared" si="132"/>
        <v>0.39484815638014015</v>
      </c>
      <c r="BV71" s="14">
        <f t="shared" si="132"/>
        <v>0.39484815638014015</v>
      </c>
      <c r="BW71" s="14">
        <f t="shared" si="132"/>
        <v>0.39484815638014015</v>
      </c>
      <c r="BX71" s="14">
        <f t="shared" si="132"/>
        <v>0.39484815638014015</v>
      </c>
      <c r="BY71" s="14">
        <f t="shared" si="132"/>
        <v>0.39484815638014015</v>
      </c>
      <c r="BZ71" s="14">
        <f t="shared" si="132"/>
        <v>0.39484815638014015</v>
      </c>
      <c r="CA71" s="14">
        <f t="shared" si="132"/>
        <v>0.39484815638014015</v>
      </c>
      <c r="CB71" s="14">
        <f t="shared" si="132"/>
        <v>0.39484815638014015</v>
      </c>
      <c r="CC71" s="14">
        <f t="shared" si="132"/>
        <v>0.39484815638014015</v>
      </c>
      <c r="CD71" s="14">
        <f t="shared" si="132"/>
        <v>0.39484815638014015</v>
      </c>
      <c r="CE71" s="14">
        <f t="shared" si="132"/>
        <v>0.39484815638014015</v>
      </c>
      <c r="CF71" s="14">
        <f t="shared" si="132"/>
        <v>0.39484815638014015</v>
      </c>
      <c r="CG71" s="14">
        <f t="shared" si="132"/>
        <v>0.39484815638014015</v>
      </c>
      <c r="CH71" s="14">
        <f t="shared" si="132"/>
        <v>0.39484815638014015</v>
      </c>
      <c r="CI71" s="14">
        <f t="shared" si="132"/>
        <v>0.39484815638014015</v>
      </c>
      <c r="CJ71" s="14">
        <f t="shared" si="132"/>
        <v>0.39484815638014015</v>
      </c>
      <c r="CK71" s="14">
        <f t="shared" si="132"/>
        <v>0.39484815638014015</v>
      </c>
      <c r="CL71" s="14">
        <f t="shared" si="132"/>
        <v>0.39484815638014015</v>
      </c>
      <c r="CM71" s="14">
        <f t="shared" si="132"/>
        <v>0.39484815638014015</v>
      </c>
      <c r="CN71" s="14">
        <f t="shared" si="132"/>
        <v>0.39484815638014015</v>
      </c>
      <c r="CO71" s="14">
        <f t="shared" si="132"/>
        <v>0.39484815638014015</v>
      </c>
      <c r="CP71" s="14">
        <f t="shared" si="132"/>
        <v>0.39484815638014015</v>
      </c>
      <c r="CQ71" s="14">
        <f t="shared" si="132"/>
        <v>0.39484815638014015</v>
      </c>
      <c r="CR71" s="14">
        <f t="shared" si="132"/>
        <v>0.39484815638014015</v>
      </c>
      <c r="CS71" s="14">
        <f t="shared" si="132"/>
        <v>0.39484815638014015</v>
      </c>
      <c r="CT71" s="14">
        <f t="shared" si="132"/>
        <v>0.39484815638014015</v>
      </c>
      <c r="CU71" s="14">
        <f t="shared" si="132"/>
        <v>0.39484815638014015</v>
      </c>
      <c r="CW71" s="20"/>
      <c r="CX71" s="14">
        <f t="shared" si="133"/>
        <v>181.54555308595795</v>
      </c>
      <c r="CY71" s="14">
        <f t="shared" si="134"/>
        <v>169.20189688634446</v>
      </c>
      <c r="CZ71" s="14">
        <f t="shared" si="135"/>
        <v>156.97065261845623</v>
      </c>
      <c r="DA71" s="14">
        <f t="shared" si="136"/>
        <v>144.96200547026788</v>
      </c>
      <c r="DB71" s="14">
        <f t="shared" si="137"/>
        <v>133.28176975923165</v>
      </c>
      <c r="DC71" s="14">
        <f t="shared" si="138"/>
        <v>122.02940491399559</v>
      </c>
      <c r="DD71" s="14">
        <f t="shared" si="139"/>
        <v>111.29625922733638</v>
      </c>
      <c r="DE71" s="14">
        <f t="shared" si="140"/>
        <v>101.1640953139914</v>
      </c>
      <c r="DF71" s="14">
        <f t="shared" si="141"/>
        <v>91.703934683843997</v>
      </c>
      <c r="DG71" s="14">
        <f t="shared" si="142"/>
        <v>82.975240826577959</v>
      </c>
      <c r="DH71" s="14">
        <f t="shared" si="143"/>
        <v>75.025442075984728</v>
      </c>
      <c r="DI71" s="14">
        <f t="shared" si="144"/>
        <v>67.889778606456773</v>
      </c>
      <c r="DJ71" s="14">
        <f t="shared" si="145"/>
        <v>61.591443368458492</v>
      </c>
      <c r="DK71" s="14">
        <f t="shared" si="146"/>
        <v>56.141975487782311</v>
      </c>
      <c r="DL71" s="14">
        <f t="shared" si="147"/>
        <v>51.541857199525772</v>
      </c>
      <c r="DM71" s="14">
        <f t="shared" si="148"/>
        <v>47.781261966169353</v>
      </c>
      <c r="DN71" s="14">
        <f t="shared" si="149"/>
        <v>44.840901889609519</v>
      </c>
      <c r="DO71" s="14">
        <f t="shared" si="150"/>
        <v>42.692926404100447</v>
      </c>
      <c r="DP71" s="14">
        <f t="shared" si="151"/>
        <v>41.301830817414306</v>
      </c>
      <c r="DQ71" s="14">
        <f t="shared" si="152"/>
        <v>40.625341676344291</v>
      </c>
      <c r="DR71" s="14">
        <f t="shared" si="153"/>
        <v>40.61525522977005</v>
      </c>
      <c r="DS71" s="14">
        <f t="shared" si="154"/>
        <v>41.218214537720847</v>
      </c>
      <c r="DT71" s="14">
        <f t="shared" si="155"/>
        <v>42.376419233337657</v>
      </c>
      <c r="DU71" s="14">
        <f t="shared" si="156"/>
        <v>44.028268974055884</v>
      </c>
      <c r="DV71" s="14">
        <f t="shared" si="157"/>
        <v>46.108946832692972</v>
      </c>
      <c r="DW71" s="14">
        <f t="shared" si="158"/>
        <v>48.550952135870943</v>
      </c>
      <c r="DX71" s="14">
        <f t="shared" si="159"/>
        <v>51.284593647711304</v>
      </c>
      <c r="DY71" s="14">
        <f t="shared" si="160"/>
        <v>54.238453812593434</v>
      </c>
      <c r="DZ71" s="14">
        <f t="shared" si="161"/>
        <v>57.339833450550074</v>
      </c>
      <c r="EA71" s="14">
        <f t="shared" si="162"/>
        <v>60.51518436198598</v>
      </c>
    </row>
    <row r="72" spans="5:131" x14ac:dyDescent="0.25">
      <c r="E72" s="25"/>
      <c r="F72" s="6">
        <f t="shared" si="163"/>
        <v>300</v>
      </c>
      <c r="G72" s="6">
        <f t="shared" si="164"/>
        <v>279.60238189843892</v>
      </c>
      <c r="H72" s="6">
        <f t="shared" si="165"/>
        <v>259.3905220208847</v>
      </c>
      <c r="I72" s="6">
        <f t="shared" si="166"/>
        <v>239.54649894668279</v>
      </c>
      <c r="J72" s="6">
        <f t="shared" si="167"/>
        <v>220.24516848858133</v>
      </c>
      <c r="K72" s="6">
        <f t="shared" si="168"/>
        <v>201.65088514652399</v>
      </c>
      <c r="L72" s="6">
        <f t="shared" si="169"/>
        <v>183.91459994832258</v>
      </c>
      <c r="M72" s="6">
        <f t="shared" si="170"/>
        <v>167.17142380142855</v>
      </c>
      <c r="N72" s="6">
        <f t="shared" si="171"/>
        <v>151.53871817574756</v>
      </c>
      <c r="O72" s="6">
        <f t="shared" si="172"/>
        <v>137.11474516914927</v>
      </c>
      <c r="P72" s="6">
        <f t="shared" si="173"/>
        <v>123.97787905131739</v>
      </c>
      <c r="Q72" s="6">
        <f t="shared" si="174"/>
        <v>112.18635342884838</v>
      </c>
      <c r="R72" s="6">
        <f t="shared" si="175"/>
        <v>101.77849413799125</v>
      </c>
      <c r="S72" s="6">
        <f t="shared" si="176"/>
        <v>92.773369328193269</v>
      </c>
      <c r="T72" s="6">
        <f t="shared" si="177"/>
        <v>85.17177588225772</v>
      </c>
      <c r="U72" s="6">
        <f t="shared" si="178"/>
        <v>78.957475664875062</v>
      </c>
      <c r="V72" s="6">
        <f t="shared" si="179"/>
        <v>74.098595852212881</v>
      </c>
      <c r="W72" s="6">
        <f t="shared" si="180"/>
        <v>70.549114002070212</v>
      </c>
      <c r="X72" s="6">
        <f t="shared" si="181"/>
        <v>68.250359397994345</v>
      </c>
      <c r="Y72" s="6">
        <f t="shared" si="182"/>
        <v>67.132476096138362</v>
      </c>
      <c r="Z72" s="6">
        <f t="shared" si="183"/>
        <v>67.115808466880367</v>
      </c>
      <c r="AA72" s="6">
        <f t="shared" si="184"/>
        <v>68.112185350315201</v>
      </c>
      <c r="AB72" s="6">
        <f t="shared" si="185"/>
        <v>70.026092922154902</v>
      </c>
      <c r="AC72" s="6">
        <f t="shared" si="186"/>
        <v>72.755737982537255</v>
      </c>
      <c r="AD72" s="6">
        <f t="shared" si="187"/>
        <v>76.194011996859047</v>
      </c>
      <c r="AE72" s="6">
        <f t="shared" si="188"/>
        <v>80.229371599451582</v>
      </c>
      <c r="AF72" s="6">
        <f t="shared" si="189"/>
        <v>84.746653568698221</v>
      </c>
      <c r="AG72" s="6">
        <f t="shared" si="190"/>
        <v>89.627841977896338</v>
      </c>
      <c r="AH72" s="6">
        <f t="shared" si="191"/>
        <v>94.752803044535412</v>
      </c>
      <c r="AI72" s="6">
        <f t="shared" si="191"/>
        <v>100</v>
      </c>
      <c r="AK72" s="21"/>
      <c r="AL72" s="14">
        <f t="shared" si="192"/>
        <v>-1076400000</v>
      </c>
      <c r="AM72" s="14">
        <f t="shared" si="131"/>
        <v>-1003213346.2515988</v>
      </c>
      <c r="AN72" s="14">
        <f t="shared" si="131"/>
        <v>-930693193.01093447</v>
      </c>
      <c r="AO72" s="14">
        <f t="shared" si="131"/>
        <v>-859492838.220698</v>
      </c>
      <c r="AP72" s="14">
        <f t="shared" si="131"/>
        <v>-790239664.53702998</v>
      </c>
      <c r="AQ72" s="14">
        <f t="shared" si="131"/>
        <v>-723523375.9057281</v>
      </c>
      <c r="AR72" s="14">
        <f t="shared" si="131"/>
        <v>-659885584.61458135</v>
      </c>
      <c r="AS72" s="14">
        <f t="shared" si="131"/>
        <v>-599811068.59952557</v>
      </c>
      <c r="AT72" s="14">
        <f t="shared" si="131"/>
        <v>-543720920.81458223</v>
      </c>
      <c r="AU72" s="14">
        <f t="shared" si="131"/>
        <v>-491967705.66690761</v>
      </c>
      <c r="AV72" s="14">
        <f t="shared" si="131"/>
        <v>-444832630.03612679</v>
      </c>
      <c r="AW72" s="14">
        <f t="shared" si="131"/>
        <v>-402524636.10270786</v>
      </c>
      <c r="AX72" s="14">
        <f t="shared" si="131"/>
        <v>-365181236.96711254</v>
      </c>
      <c r="AY72" s="14">
        <f t="shared" si="131"/>
        <v>-332870849.14955747</v>
      </c>
      <c r="AZ72" s="14">
        <f t="shared" si="131"/>
        <v>-305596331.86554068</v>
      </c>
      <c r="BA72" s="14">
        <f t="shared" si="131"/>
        <v>-283299422.68557167</v>
      </c>
      <c r="BB72" s="14">
        <f t="shared" si="131"/>
        <v>-265865761.91773981</v>
      </c>
      <c r="BC72" s="14">
        <f t="shared" si="131"/>
        <v>-253130221.03942788</v>
      </c>
      <c r="BD72" s="14">
        <f t="shared" si="131"/>
        <v>-244882289.52000371</v>
      </c>
      <c r="BE72" s="14">
        <f t="shared" si="131"/>
        <v>-240871324.23294443</v>
      </c>
      <c r="BF72" s="14">
        <f t="shared" si="131"/>
        <v>-240811520.77916676</v>
      </c>
      <c r="BG72" s="14">
        <f t="shared" si="131"/>
        <v>-244386521.03693089</v>
      </c>
      <c r="BH72" s="14">
        <f t="shared" si="131"/>
        <v>-251253621.40469179</v>
      </c>
      <c r="BI72" s="14">
        <f t="shared" si="131"/>
        <v>-261047587.88134366</v>
      </c>
      <c r="BJ72" s="14">
        <f t="shared" ref="BJ72:BJ93" si="194">-($C$10*$C$9*AD41)/$C$7</f>
        <v>-273384115.04473025</v>
      </c>
      <c r="BK72" s="14">
        <f t="shared" ref="BK72:BK93" si="195">-($C$10*$C$9*AE41)/$C$7</f>
        <v>-287862985.2988323</v>
      </c>
      <c r="BL72" s="14">
        <f t="shared" ref="BL72:BL93" si="196">-($C$10*$C$9*AF41)/$C$7</f>
        <v>-304070993.00448924</v>
      </c>
      <c r="BM72" s="14">
        <f t="shared" ref="BM72:BM93" si="197">-($C$10*$C$9*AG41)/$C$7</f>
        <v>-321584697.01669204</v>
      </c>
      <c r="BN72" s="14">
        <f t="shared" ref="BN72:BN93" si="198">-($C$10*$C$9*AH41)/$C$7</f>
        <v>-339973057.32379299</v>
      </c>
      <c r="BO72" s="14">
        <f t="shared" ref="BO72:BO93" si="199">-($C$10*$C$9*AI41)/$C$7</f>
        <v>-358800000</v>
      </c>
      <c r="BQ72" s="20"/>
      <c r="BR72" s="14">
        <f t="shared" si="193"/>
        <v>0.39484815638014015</v>
      </c>
      <c r="BS72" s="14">
        <f t="shared" si="132"/>
        <v>0.39484815638014015</v>
      </c>
      <c r="BT72" s="14">
        <f t="shared" si="132"/>
        <v>0.39484815638014015</v>
      </c>
      <c r="BU72" s="14">
        <f t="shared" si="132"/>
        <v>0.39484815638014015</v>
      </c>
      <c r="BV72" s="14">
        <f t="shared" si="132"/>
        <v>0.39484815638014015</v>
      </c>
      <c r="BW72" s="14">
        <f t="shared" si="132"/>
        <v>0.39484815638014015</v>
      </c>
      <c r="BX72" s="14">
        <f t="shared" si="132"/>
        <v>0.39484815638014015</v>
      </c>
      <c r="BY72" s="14">
        <f t="shared" si="132"/>
        <v>0.39484815638014015</v>
      </c>
      <c r="BZ72" s="14">
        <f t="shared" si="132"/>
        <v>0.39484815638014015</v>
      </c>
      <c r="CA72" s="14">
        <f t="shared" si="132"/>
        <v>0.39484815638014015</v>
      </c>
      <c r="CB72" s="14">
        <f t="shared" si="132"/>
        <v>0.39484815638014015</v>
      </c>
      <c r="CC72" s="14">
        <f t="shared" si="132"/>
        <v>0.39484815638014015</v>
      </c>
      <c r="CD72" s="14">
        <f t="shared" si="132"/>
        <v>0.39484815638014015</v>
      </c>
      <c r="CE72" s="14">
        <f t="shared" si="132"/>
        <v>0.39484815638014015</v>
      </c>
      <c r="CF72" s="14">
        <f t="shared" si="132"/>
        <v>0.39484815638014015</v>
      </c>
      <c r="CG72" s="14">
        <f t="shared" si="132"/>
        <v>0.39484815638014015</v>
      </c>
      <c r="CH72" s="14">
        <f t="shared" si="132"/>
        <v>0.39484815638014015</v>
      </c>
      <c r="CI72" s="14">
        <f t="shared" si="132"/>
        <v>0.39484815638014015</v>
      </c>
      <c r="CJ72" s="14">
        <f t="shared" si="132"/>
        <v>0.39484815638014015</v>
      </c>
      <c r="CK72" s="14">
        <f t="shared" si="132"/>
        <v>0.39484815638014015</v>
      </c>
      <c r="CL72" s="14">
        <f t="shared" si="132"/>
        <v>0.39484815638014015</v>
      </c>
      <c r="CM72" s="14">
        <f t="shared" si="132"/>
        <v>0.39484815638014015</v>
      </c>
      <c r="CN72" s="14">
        <f t="shared" si="132"/>
        <v>0.39484815638014015</v>
      </c>
      <c r="CO72" s="14">
        <f t="shared" si="132"/>
        <v>0.39484815638014015</v>
      </c>
      <c r="CP72" s="14">
        <f t="shared" ref="CP72:CP92" si="200">$C$20/($C$21-$C$22*CP73)</f>
        <v>0.39484815638014015</v>
      </c>
      <c r="CQ72" s="14">
        <f t="shared" ref="CQ72:CQ92" si="201">$C$20/($C$21-$C$22*CQ73)</f>
        <v>0.39484815638014015</v>
      </c>
      <c r="CR72" s="14">
        <f t="shared" ref="CR72:CR92" si="202">$C$20/($C$21-$C$22*CR73)</f>
        <v>0.39484815638014015</v>
      </c>
      <c r="CS72" s="14">
        <f t="shared" ref="CS72:CS92" si="203">$C$20/($C$21-$C$22*CS73)</f>
        <v>0.39484815638014015</v>
      </c>
      <c r="CT72" s="14">
        <f t="shared" ref="CT72:CT92" si="204">$C$20/($C$21-$C$22*CT73)</f>
        <v>0.39484815638014015</v>
      </c>
      <c r="CU72" s="14">
        <f t="shared" ref="CU72:CU92" si="205">$C$20/($C$21-$C$22*CU73)</f>
        <v>0.39484815638014015</v>
      </c>
      <c r="CW72" s="20"/>
      <c r="CX72" s="14">
        <f t="shared" si="133"/>
        <v>181.54555308595795</v>
      </c>
      <c r="CY72" s="14">
        <f t="shared" si="134"/>
        <v>169.20189688634446</v>
      </c>
      <c r="CZ72" s="14">
        <f t="shared" si="135"/>
        <v>156.97065261845626</v>
      </c>
      <c r="DA72" s="14">
        <f t="shared" si="136"/>
        <v>144.96200547026791</v>
      </c>
      <c r="DB72" s="14">
        <f t="shared" si="137"/>
        <v>133.28176975923168</v>
      </c>
      <c r="DC72" s="14">
        <f t="shared" si="138"/>
        <v>122.02940491399562</v>
      </c>
      <c r="DD72" s="14">
        <f t="shared" si="139"/>
        <v>111.29625922733641</v>
      </c>
      <c r="DE72" s="14">
        <f t="shared" si="140"/>
        <v>101.16409531399142</v>
      </c>
      <c r="DF72" s="14">
        <f t="shared" si="141"/>
        <v>91.703934683844011</v>
      </c>
      <c r="DG72" s="14">
        <f t="shared" si="142"/>
        <v>82.975240826577974</v>
      </c>
      <c r="DH72" s="14">
        <f t="shared" si="143"/>
        <v>75.025442075984728</v>
      </c>
      <c r="DI72" s="14">
        <f t="shared" si="144"/>
        <v>67.889778606456787</v>
      </c>
      <c r="DJ72" s="14">
        <f t="shared" si="145"/>
        <v>61.591443368458513</v>
      </c>
      <c r="DK72" s="14">
        <f t="shared" si="146"/>
        <v>56.141975487782332</v>
      </c>
      <c r="DL72" s="14">
        <f t="shared" si="147"/>
        <v>51.541857199525786</v>
      </c>
      <c r="DM72" s="14">
        <f t="shared" si="148"/>
        <v>47.781261966169367</v>
      </c>
      <c r="DN72" s="14">
        <f t="shared" si="149"/>
        <v>44.840901889609526</v>
      </c>
      <c r="DO72" s="14">
        <f t="shared" si="150"/>
        <v>42.692926404100461</v>
      </c>
      <c r="DP72" s="14">
        <f t="shared" si="151"/>
        <v>41.301830817414313</v>
      </c>
      <c r="DQ72" s="14">
        <f t="shared" si="152"/>
        <v>40.625341676344306</v>
      </c>
      <c r="DR72" s="14">
        <f t="shared" si="153"/>
        <v>40.615255229770057</v>
      </c>
      <c r="DS72" s="14">
        <f t="shared" si="154"/>
        <v>41.218214537720854</v>
      </c>
      <c r="DT72" s="14">
        <f t="shared" si="155"/>
        <v>42.376419233337664</v>
      </c>
      <c r="DU72" s="14">
        <f t="shared" si="156"/>
        <v>44.028268974055891</v>
      </c>
      <c r="DV72" s="14">
        <f t="shared" si="157"/>
        <v>46.108946832692979</v>
      </c>
      <c r="DW72" s="14">
        <f t="shared" si="158"/>
        <v>48.550952135870951</v>
      </c>
      <c r="DX72" s="14">
        <f t="shared" si="159"/>
        <v>51.284593647711311</v>
      </c>
      <c r="DY72" s="14">
        <f t="shared" si="160"/>
        <v>54.238453812593441</v>
      </c>
      <c r="DZ72" s="14">
        <f t="shared" si="161"/>
        <v>57.339833450550074</v>
      </c>
      <c r="EA72" s="14">
        <f t="shared" si="162"/>
        <v>60.51518436198598</v>
      </c>
    </row>
    <row r="73" spans="5:131" x14ac:dyDescent="0.25">
      <c r="E73" s="25"/>
      <c r="F73" s="6">
        <f t="shared" si="163"/>
        <v>300</v>
      </c>
      <c r="G73" s="6">
        <f t="shared" si="164"/>
        <v>279.60238189843903</v>
      </c>
      <c r="H73" s="6">
        <f t="shared" si="165"/>
        <v>259.39052202088476</v>
      </c>
      <c r="I73" s="6">
        <f t="shared" si="166"/>
        <v>239.54649894668285</v>
      </c>
      <c r="J73" s="6">
        <f t="shared" si="167"/>
        <v>220.24516848858144</v>
      </c>
      <c r="K73" s="6">
        <f t="shared" si="168"/>
        <v>201.65088514652405</v>
      </c>
      <c r="L73" s="6">
        <f t="shared" si="169"/>
        <v>183.91459994832263</v>
      </c>
      <c r="M73" s="6">
        <f t="shared" si="170"/>
        <v>167.1714238014286</v>
      </c>
      <c r="N73" s="6">
        <f t="shared" si="171"/>
        <v>151.53871817574765</v>
      </c>
      <c r="O73" s="6">
        <f t="shared" si="172"/>
        <v>137.11474516914933</v>
      </c>
      <c r="P73" s="6">
        <f t="shared" si="173"/>
        <v>123.97787905131743</v>
      </c>
      <c r="Q73" s="6">
        <f t="shared" si="174"/>
        <v>112.18635342884843</v>
      </c>
      <c r="R73" s="6">
        <f t="shared" si="175"/>
        <v>101.77849413799129</v>
      </c>
      <c r="S73" s="6">
        <f t="shared" si="176"/>
        <v>92.773369328193311</v>
      </c>
      <c r="T73" s="6">
        <f t="shared" si="177"/>
        <v>85.171775882257748</v>
      </c>
      <c r="U73" s="6">
        <f t="shared" si="178"/>
        <v>78.957475664875091</v>
      </c>
      <c r="V73" s="6">
        <f t="shared" si="179"/>
        <v>74.09859585221291</v>
      </c>
      <c r="W73" s="6">
        <f t="shared" si="180"/>
        <v>70.54911400207024</v>
      </c>
      <c r="X73" s="6">
        <f t="shared" si="181"/>
        <v>68.250359397994373</v>
      </c>
      <c r="Y73" s="6">
        <f t="shared" si="182"/>
        <v>67.13247609613839</v>
      </c>
      <c r="Z73" s="6">
        <f t="shared" si="183"/>
        <v>67.115808466880395</v>
      </c>
      <c r="AA73" s="6">
        <f t="shared" si="184"/>
        <v>68.112185350315229</v>
      </c>
      <c r="AB73" s="6">
        <f t="shared" si="185"/>
        <v>70.02609292215493</v>
      </c>
      <c r="AC73" s="6">
        <f t="shared" si="186"/>
        <v>72.755737982537269</v>
      </c>
      <c r="AD73" s="6">
        <f t="shared" si="187"/>
        <v>76.194011996859061</v>
      </c>
      <c r="AE73" s="6">
        <f t="shared" si="188"/>
        <v>80.229371599451611</v>
      </c>
      <c r="AF73" s="6">
        <f t="shared" si="189"/>
        <v>84.74665356869825</v>
      </c>
      <c r="AG73" s="6">
        <f t="shared" si="190"/>
        <v>89.627841977896367</v>
      </c>
      <c r="AH73" s="6">
        <f t="shared" si="191"/>
        <v>94.752803044535426</v>
      </c>
      <c r="AI73" s="6">
        <f t="shared" si="191"/>
        <v>100</v>
      </c>
      <c r="AK73" s="21"/>
      <c r="AL73" s="14">
        <f t="shared" si="192"/>
        <v>-1076400000</v>
      </c>
      <c r="AM73" s="14">
        <f t="shared" ref="AM73:AM93" si="206">-($C$10*$C$9*G42)/$C$7</f>
        <v>-1003213346.2515991</v>
      </c>
      <c r="AN73" s="14">
        <f t="shared" ref="AN73:AN93" si="207">-($C$10*$C$9*H42)/$C$7</f>
        <v>-930693193.01093447</v>
      </c>
      <c r="AO73" s="14">
        <f t="shared" ref="AO73:AO93" si="208">-($C$10*$C$9*I42)/$C$7</f>
        <v>-859492838.220698</v>
      </c>
      <c r="AP73" s="14">
        <f t="shared" ref="AP73:AP93" si="209">-($C$10*$C$9*J42)/$C$7</f>
        <v>-790239664.53703022</v>
      </c>
      <c r="AQ73" s="14">
        <f t="shared" ref="AQ73:AQ93" si="210">-($C$10*$C$9*K42)/$C$7</f>
        <v>-723523375.90572822</v>
      </c>
      <c r="AR73" s="14">
        <f t="shared" ref="AR73:AR93" si="211">-($C$10*$C$9*L42)/$C$7</f>
        <v>-659885584.61458158</v>
      </c>
      <c r="AS73" s="14">
        <f t="shared" ref="AS73:AS93" si="212">-($C$10*$C$9*M42)/$C$7</f>
        <v>-599811068.59952581</v>
      </c>
      <c r="AT73" s="14">
        <f t="shared" ref="AT73:AT93" si="213">-($C$10*$C$9*N42)/$C$7</f>
        <v>-543720920.81458259</v>
      </c>
      <c r="AU73" s="14">
        <f t="shared" ref="AU73:AU93" si="214">-($C$10*$C$9*O42)/$C$7</f>
        <v>-491967705.66690779</v>
      </c>
      <c r="AV73" s="14">
        <f t="shared" ref="AV73:AV93" si="215">-($C$10*$C$9*P42)/$C$7</f>
        <v>-444832630.03612703</v>
      </c>
      <c r="AW73" s="14">
        <f t="shared" ref="AW73:AW93" si="216">-($C$10*$C$9*Q42)/$C$7</f>
        <v>-402524636.10270816</v>
      </c>
      <c r="AX73" s="14">
        <f t="shared" ref="AX73:AX93" si="217">-($C$10*$C$9*R42)/$C$7</f>
        <v>-365181236.96711272</v>
      </c>
      <c r="AY73" s="14">
        <f t="shared" ref="AY73:AY93" si="218">-($C$10*$C$9*S42)/$C$7</f>
        <v>-332870849.14955765</v>
      </c>
      <c r="AZ73" s="14">
        <f t="shared" ref="AZ73:AZ93" si="219">-($C$10*$C$9*T42)/$C$7</f>
        <v>-305596331.8655408</v>
      </c>
      <c r="BA73" s="14">
        <f t="shared" ref="BA73:BA93" si="220">-($C$10*$C$9*U42)/$C$7</f>
        <v>-283299422.68557185</v>
      </c>
      <c r="BB73" s="14">
        <f t="shared" ref="BB73:BB93" si="221">-($C$10*$C$9*V42)/$C$7</f>
        <v>-265865761.91773993</v>
      </c>
      <c r="BC73" s="14">
        <f t="shared" ref="BC73:BC93" si="222">-($C$10*$C$9*W42)/$C$7</f>
        <v>-253130221.03942803</v>
      </c>
      <c r="BD73" s="14">
        <f t="shared" ref="BD73:BD93" si="223">-($C$10*$C$9*X42)/$C$7</f>
        <v>-244882289.5200038</v>
      </c>
      <c r="BE73" s="14">
        <f t="shared" ref="BE73:BE93" si="224">-($C$10*$C$9*Y42)/$C$7</f>
        <v>-240871324.23294449</v>
      </c>
      <c r="BF73" s="14">
        <f t="shared" ref="BF73:BF93" si="225">-($C$10*$C$9*Z42)/$C$7</f>
        <v>-240811520.77916685</v>
      </c>
      <c r="BG73" s="14">
        <f t="shared" ref="BG73:BG93" si="226">-($C$10*$C$9*AA42)/$C$7</f>
        <v>-244386521.03693098</v>
      </c>
      <c r="BH73" s="14">
        <f t="shared" ref="BH73:BH93" si="227">-($C$10*$C$9*AB42)/$C$7</f>
        <v>-251253621.4046919</v>
      </c>
      <c r="BI73" s="14">
        <f t="shared" ref="BI73:BI93" si="228">-($C$10*$C$9*AC42)/$C$7</f>
        <v>-261047587.88134372</v>
      </c>
      <c r="BJ73" s="14">
        <f t="shared" si="194"/>
        <v>-273384115.04473031</v>
      </c>
      <c r="BK73" s="14">
        <f t="shared" si="195"/>
        <v>-287862985.2988323</v>
      </c>
      <c r="BL73" s="14">
        <f t="shared" si="196"/>
        <v>-304070993.00448924</v>
      </c>
      <c r="BM73" s="14">
        <f t="shared" si="197"/>
        <v>-321584697.01669216</v>
      </c>
      <c r="BN73" s="14">
        <f t="shared" si="198"/>
        <v>-339973057.32379311</v>
      </c>
      <c r="BO73" s="14">
        <f t="shared" si="199"/>
        <v>-358800000</v>
      </c>
      <c r="BQ73" s="20"/>
      <c r="BR73" s="14">
        <f t="shared" si="193"/>
        <v>0.3948481563801402</v>
      </c>
      <c r="BS73" s="14">
        <f t="shared" ref="BS73:BS92" si="229">$C$20/($C$21-$C$22*BS74)</f>
        <v>0.3948481563801402</v>
      </c>
      <c r="BT73" s="14">
        <f t="shared" ref="BT73:BT92" si="230">$C$20/($C$21-$C$22*BT74)</f>
        <v>0.3948481563801402</v>
      </c>
      <c r="BU73" s="14">
        <f t="shared" ref="BU73:BU92" si="231">$C$20/($C$21-$C$22*BU74)</f>
        <v>0.3948481563801402</v>
      </c>
      <c r="BV73" s="14">
        <f t="shared" ref="BV73:BV92" si="232">$C$20/($C$21-$C$22*BV74)</f>
        <v>0.3948481563801402</v>
      </c>
      <c r="BW73" s="14">
        <f t="shared" ref="BW73:BW92" si="233">$C$20/($C$21-$C$22*BW74)</f>
        <v>0.3948481563801402</v>
      </c>
      <c r="BX73" s="14">
        <f t="shared" ref="BX73:BX92" si="234">$C$20/($C$21-$C$22*BX74)</f>
        <v>0.3948481563801402</v>
      </c>
      <c r="BY73" s="14">
        <f t="shared" ref="BY73:BY92" si="235">$C$20/($C$21-$C$22*BY74)</f>
        <v>0.3948481563801402</v>
      </c>
      <c r="BZ73" s="14">
        <f t="shared" ref="BZ73:BZ92" si="236">$C$20/($C$21-$C$22*BZ74)</f>
        <v>0.3948481563801402</v>
      </c>
      <c r="CA73" s="14">
        <f t="shared" ref="CA73:CA92" si="237">$C$20/($C$21-$C$22*CA74)</f>
        <v>0.3948481563801402</v>
      </c>
      <c r="CB73" s="14">
        <f t="shared" ref="CB73:CB92" si="238">$C$20/($C$21-$C$22*CB74)</f>
        <v>0.3948481563801402</v>
      </c>
      <c r="CC73" s="14">
        <f t="shared" ref="CC73:CC92" si="239">$C$20/($C$21-$C$22*CC74)</f>
        <v>0.3948481563801402</v>
      </c>
      <c r="CD73" s="14">
        <f t="shared" ref="CD73:CD92" si="240">$C$20/($C$21-$C$22*CD74)</f>
        <v>0.3948481563801402</v>
      </c>
      <c r="CE73" s="14">
        <f t="shared" ref="CE73:CE92" si="241">$C$20/($C$21-$C$22*CE74)</f>
        <v>0.3948481563801402</v>
      </c>
      <c r="CF73" s="14">
        <f t="shared" ref="CF73:CF92" si="242">$C$20/($C$21-$C$22*CF74)</f>
        <v>0.3948481563801402</v>
      </c>
      <c r="CG73" s="14">
        <f t="shared" ref="CG73:CG92" si="243">$C$20/($C$21-$C$22*CG74)</f>
        <v>0.3948481563801402</v>
      </c>
      <c r="CH73" s="14">
        <f t="shared" ref="CH73:CH92" si="244">$C$20/($C$21-$C$22*CH74)</f>
        <v>0.3948481563801402</v>
      </c>
      <c r="CI73" s="14">
        <f t="shared" ref="CI73:CI92" si="245">$C$20/($C$21-$C$22*CI74)</f>
        <v>0.3948481563801402</v>
      </c>
      <c r="CJ73" s="14">
        <f t="shared" ref="CJ73:CJ92" si="246">$C$20/($C$21-$C$22*CJ74)</f>
        <v>0.3948481563801402</v>
      </c>
      <c r="CK73" s="14">
        <f t="shared" ref="CK73:CK92" si="247">$C$20/($C$21-$C$22*CK74)</f>
        <v>0.3948481563801402</v>
      </c>
      <c r="CL73" s="14">
        <f t="shared" ref="CL73:CL92" si="248">$C$20/($C$21-$C$22*CL74)</f>
        <v>0.3948481563801402</v>
      </c>
      <c r="CM73" s="14">
        <f t="shared" ref="CM73:CM92" si="249">$C$20/($C$21-$C$22*CM74)</f>
        <v>0.3948481563801402</v>
      </c>
      <c r="CN73" s="14">
        <f t="shared" ref="CN73:CN92" si="250">$C$20/($C$21-$C$22*CN74)</f>
        <v>0.3948481563801402</v>
      </c>
      <c r="CO73" s="14">
        <f t="shared" ref="CO73:CO92" si="251">$C$20/($C$21-$C$22*CO74)</f>
        <v>0.3948481563801402</v>
      </c>
      <c r="CP73" s="14">
        <f t="shared" si="200"/>
        <v>0.3948481563801402</v>
      </c>
      <c r="CQ73" s="14">
        <f t="shared" si="201"/>
        <v>0.3948481563801402</v>
      </c>
      <c r="CR73" s="14">
        <f t="shared" si="202"/>
        <v>0.3948481563801402</v>
      </c>
      <c r="CS73" s="14">
        <f t="shared" si="203"/>
        <v>0.3948481563801402</v>
      </c>
      <c r="CT73" s="14">
        <f t="shared" si="204"/>
        <v>0.3948481563801402</v>
      </c>
      <c r="CU73" s="14">
        <f t="shared" si="205"/>
        <v>0.3948481563801402</v>
      </c>
      <c r="CW73" s="20"/>
      <c r="CX73" s="14">
        <f t="shared" si="133"/>
        <v>181.54555308595795</v>
      </c>
      <c r="CY73" s="14">
        <f t="shared" si="134"/>
        <v>169.20189688634451</v>
      </c>
      <c r="CZ73" s="14">
        <f t="shared" si="135"/>
        <v>156.97065261845626</v>
      </c>
      <c r="DA73" s="14">
        <f t="shared" si="136"/>
        <v>144.96200547026794</v>
      </c>
      <c r="DB73" s="14">
        <f t="shared" si="137"/>
        <v>133.28176975923174</v>
      </c>
      <c r="DC73" s="14">
        <f t="shared" si="138"/>
        <v>122.02940491399563</v>
      </c>
      <c r="DD73" s="14">
        <f t="shared" si="139"/>
        <v>111.29625922733645</v>
      </c>
      <c r="DE73" s="14">
        <f t="shared" si="140"/>
        <v>101.16409531399145</v>
      </c>
      <c r="DF73" s="14">
        <f t="shared" si="141"/>
        <v>91.703934683844068</v>
      </c>
      <c r="DG73" s="14">
        <f t="shared" si="142"/>
        <v>82.975240826578002</v>
      </c>
      <c r="DH73" s="14">
        <f t="shared" si="143"/>
        <v>75.025442075984756</v>
      </c>
      <c r="DI73" s="14">
        <f t="shared" si="144"/>
        <v>67.889778606456829</v>
      </c>
      <c r="DJ73" s="14">
        <f t="shared" si="145"/>
        <v>61.591443368458535</v>
      </c>
      <c r="DK73" s="14">
        <f t="shared" si="146"/>
        <v>56.141975487782354</v>
      </c>
      <c r="DL73" s="14">
        <f t="shared" si="147"/>
        <v>51.541857199525808</v>
      </c>
      <c r="DM73" s="14">
        <f t="shared" si="148"/>
        <v>47.781261966169389</v>
      </c>
      <c r="DN73" s="14">
        <f t="shared" si="149"/>
        <v>44.840901889609547</v>
      </c>
      <c r="DO73" s="14">
        <f t="shared" si="150"/>
        <v>42.692926404100483</v>
      </c>
      <c r="DP73" s="14">
        <f t="shared" si="151"/>
        <v>41.301830817414327</v>
      </c>
      <c r="DQ73" s="14">
        <f t="shared" si="152"/>
        <v>40.62534167634432</v>
      </c>
      <c r="DR73" s="14">
        <f t="shared" si="153"/>
        <v>40.615255229770078</v>
      </c>
      <c r="DS73" s="14">
        <f t="shared" si="154"/>
        <v>41.218214537720876</v>
      </c>
      <c r="DT73" s="14">
        <f t="shared" si="155"/>
        <v>42.376419233337685</v>
      </c>
      <c r="DU73" s="14">
        <f t="shared" si="156"/>
        <v>44.028268974055898</v>
      </c>
      <c r="DV73" s="14">
        <f t="shared" si="157"/>
        <v>46.108946832692986</v>
      </c>
      <c r="DW73" s="14">
        <f t="shared" si="158"/>
        <v>48.550952135870965</v>
      </c>
      <c r="DX73" s="14">
        <f t="shared" si="159"/>
        <v>51.284593647711326</v>
      </c>
      <c r="DY73" s="14">
        <f t="shared" si="160"/>
        <v>54.238453812593455</v>
      </c>
      <c r="DZ73" s="14">
        <f t="shared" si="161"/>
        <v>57.339833450550081</v>
      </c>
      <c r="EA73" s="14">
        <f t="shared" si="162"/>
        <v>60.51518436198598</v>
      </c>
    </row>
    <row r="74" spans="5:131" x14ac:dyDescent="0.25">
      <c r="E74" s="25"/>
      <c r="F74" s="6">
        <f t="shared" si="163"/>
        <v>300.00000000000006</v>
      </c>
      <c r="G74" s="6">
        <f t="shared" si="164"/>
        <v>279.60238189843909</v>
      </c>
      <c r="H74" s="6">
        <f t="shared" si="165"/>
        <v>259.39052202088482</v>
      </c>
      <c r="I74" s="6">
        <f t="shared" si="166"/>
        <v>239.5464989466829</v>
      </c>
      <c r="J74" s="6">
        <f t="shared" si="167"/>
        <v>220.2451684885815</v>
      </c>
      <c r="K74" s="6">
        <f t="shared" si="168"/>
        <v>201.65088514652413</v>
      </c>
      <c r="L74" s="6">
        <f t="shared" si="169"/>
        <v>183.91459994832275</v>
      </c>
      <c r="M74" s="6">
        <f t="shared" si="170"/>
        <v>167.17142380142866</v>
      </c>
      <c r="N74" s="6">
        <f t="shared" si="171"/>
        <v>151.5387181757477</v>
      </c>
      <c r="O74" s="6">
        <f t="shared" si="172"/>
        <v>137.11474516914939</v>
      </c>
      <c r="P74" s="6">
        <f t="shared" si="173"/>
        <v>123.9778790513175</v>
      </c>
      <c r="Q74" s="6">
        <f t="shared" si="174"/>
        <v>112.18635342884849</v>
      </c>
      <c r="R74" s="6">
        <f t="shared" si="175"/>
        <v>101.77849413799134</v>
      </c>
      <c r="S74" s="6">
        <f t="shared" si="176"/>
        <v>92.773369328193354</v>
      </c>
      <c r="T74" s="6">
        <f t="shared" si="177"/>
        <v>85.171775882257805</v>
      </c>
      <c r="U74" s="6">
        <f t="shared" si="178"/>
        <v>78.957475664875119</v>
      </c>
      <c r="V74" s="6">
        <f t="shared" si="179"/>
        <v>74.098595852212938</v>
      </c>
      <c r="W74" s="6">
        <f t="shared" si="180"/>
        <v>70.549114002070269</v>
      </c>
      <c r="X74" s="6">
        <f t="shared" si="181"/>
        <v>68.250359397994401</v>
      </c>
      <c r="Y74" s="6">
        <f t="shared" si="182"/>
        <v>67.132476096138419</v>
      </c>
      <c r="Z74" s="6">
        <f t="shared" si="183"/>
        <v>67.115808466880424</v>
      </c>
      <c r="AA74" s="6">
        <f t="shared" si="184"/>
        <v>68.112185350315258</v>
      </c>
      <c r="AB74" s="6">
        <f t="shared" si="185"/>
        <v>70.026092922154973</v>
      </c>
      <c r="AC74" s="6">
        <f t="shared" si="186"/>
        <v>72.755737982537298</v>
      </c>
      <c r="AD74" s="6">
        <f t="shared" si="187"/>
        <v>76.194011996859103</v>
      </c>
      <c r="AE74" s="6">
        <f t="shared" si="188"/>
        <v>80.229371599451639</v>
      </c>
      <c r="AF74" s="6">
        <f t="shared" si="189"/>
        <v>84.746653568698292</v>
      </c>
      <c r="AG74" s="6">
        <f t="shared" si="190"/>
        <v>89.627841977896395</v>
      </c>
      <c r="AH74" s="6">
        <f t="shared" si="191"/>
        <v>94.752803044535455</v>
      </c>
      <c r="AI74" s="6">
        <f t="shared" si="191"/>
        <v>100.00000000000001</v>
      </c>
      <c r="AK74" s="21"/>
      <c r="AL74" s="14">
        <f t="shared" si="192"/>
        <v>-1076400000</v>
      </c>
      <c r="AM74" s="14">
        <f t="shared" si="206"/>
        <v>-1003213346.2515991</v>
      </c>
      <c r="AN74" s="14">
        <f t="shared" si="207"/>
        <v>-930693193.01093447</v>
      </c>
      <c r="AO74" s="14">
        <f t="shared" si="208"/>
        <v>-859492838.22069824</v>
      </c>
      <c r="AP74" s="14">
        <f t="shared" si="209"/>
        <v>-790239664.53703046</v>
      </c>
      <c r="AQ74" s="14">
        <f t="shared" si="210"/>
        <v>-723523375.90572846</v>
      </c>
      <c r="AR74" s="14">
        <f t="shared" si="211"/>
        <v>-659885584.61458194</v>
      </c>
      <c r="AS74" s="14">
        <f t="shared" si="212"/>
        <v>-599811068.59952605</v>
      </c>
      <c r="AT74" s="14">
        <f t="shared" si="213"/>
        <v>-543720920.81458271</v>
      </c>
      <c r="AU74" s="14">
        <f t="shared" si="214"/>
        <v>-491967705.66690803</v>
      </c>
      <c r="AV74" s="14">
        <f t="shared" si="215"/>
        <v>-444832630.03612721</v>
      </c>
      <c r="AW74" s="14">
        <f t="shared" si="216"/>
        <v>-402524636.1027084</v>
      </c>
      <c r="AX74" s="14">
        <f t="shared" si="217"/>
        <v>-365181236.96711296</v>
      </c>
      <c r="AY74" s="14">
        <f t="shared" si="218"/>
        <v>-332870849.14955777</v>
      </c>
      <c r="AZ74" s="14">
        <f t="shared" si="219"/>
        <v>-305596331.86554098</v>
      </c>
      <c r="BA74" s="14">
        <f t="shared" si="220"/>
        <v>-283299422.68557185</v>
      </c>
      <c r="BB74" s="14">
        <f t="shared" si="221"/>
        <v>-265865761.91774002</v>
      </c>
      <c r="BC74" s="14">
        <f t="shared" si="222"/>
        <v>-253130221.03942809</v>
      </c>
      <c r="BD74" s="14">
        <f t="shared" si="223"/>
        <v>-244882289.52000391</v>
      </c>
      <c r="BE74" s="14">
        <f t="shared" si="224"/>
        <v>-240871324.23294464</v>
      </c>
      <c r="BF74" s="14">
        <f t="shared" si="225"/>
        <v>-240811520.77916697</v>
      </c>
      <c r="BG74" s="14">
        <f t="shared" si="226"/>
        <v>-244386521.03693116</v>
      </c>
      <c r="BH74" s="14">
        <f t="shared" si="227"/>
        <v>-251253621.40469205</v>
      </c>
      <c r="BI74" s="14">
        <f t="shared" si="228"/>
        <v>-261047587.88134387</v>
      </c>
      <c r="BJ74" s="14">
        <f t="shared" si="194"/>
        <v>-273384115.04473048</v>
      </c>
      <c r="BK74" s="14">
        <f t="shared" si="195"/>
        <v>-287862985.29883248</v>
      </c>
      <c r="BL74" s="14">
        <f t="shared" si="196"/>
        <v>-304070993.00448948</v>
      </c>
      <c r="BM74" s="14">
        <f t="shared" si="197"/>
        <v>-321584697.01669228</v>
      </c>
      <c r="BN74" s="14">
        <f t="shared" si="198"/>
        <v>-339973057.32379311</v>
      </c>
      <c r="BO74" s="14">
        <f t="shared" si="199"/>
        <v>-358800000</v>
      </c>
      <c r="BQ74" s="20"/>
      <c r="BR74" s="14">
        <f t="shared" si="193"/>
        <v>0.39484815638014059</v>
      </c>
      <c r="BS74" s="14">
        <f t="shared" si="229"/>
        <v>0.39484815638014059</v>
      </c>
      <c r="BT74" s="14">
        <f t="shared" si="230"/>
        <v>0.39484815638014059</v>
      </c>
      <c r="BU74" s="14">
        <f t="shared" si="231"/>
        <v>0.39484815638014059</v>
      </c>
      <c r="BV74" s="14">
        <f t="shared" si="232"/>
        <v>0.39484815638014059</v>
      </c>
      <c r="BW74" s="14">
        <f t="shared" si="233"/>
        <v>0.39484815638014059</v>
      </c>
      <c r="BX74" s="14">
        <f t="shared" si="234"/>
        <v>0.39484815638014059</v>
      </c>
      <c r="BY74" s="14">
        <f t="shared" si="235"/>
        <v>0.39484815638014059</v>
      </c>
      <c r="BZ74" s="14">
        <f t="shared" si="236"/>
        <v>0.39484815638014059</v>
      </c>
      <c r="CA74" s="14">
        <f t="shared" si="237"/>
        <v>0.39484815638014059</v>
      </c>
      <c r="CB74" s="14">
        <f t="shared" si="238"/>
        <v>0.39484815638014059</v>
      </c>
      <c r="CC74" s="14">
        <f t="shared" si="239"/>
        <v>0.39484815638014059</v>
      </c>
      <c r="CD74" s="14">
        <f t="shared" si="240"/>
        <v>0.39484815638014059</v>
      </c>
      <c r="CE74" s="14">
        <f t="shared" si="241"/>
        <v>0.39484815638014059</v>
      </c>
      <c r="CF74" s="14">
        <f t="shared" si="242"/>
        <v>0.39484815638014059</v>
      </c>
      <c r="CG74" s="14">
        <f t="shared" si="243"/>
        <v>0.39484815638014059</v>
      </c>
      <c r="CH74" s="14">
        <f t="shared" si="244"/>
        <v>0.39484815638014059</v>
      </c>
      <c r="CI74" s="14">
        <f t="shared" si="245"/>
        <v>0.39484815638014059</v>
      </c>
      <c r="CJ74" s="14">
        <f t="shared" si="246"/>
        <v>0.39484815638014059</v>
      </c>
      <c r="CK74" s="14">
        <f t="shared" si="247"/>
        <v>0.39484815638014059</v>
      </c>
      <c r="CL74" s="14">
        <f t="shared" si="248"/>
        <v>0.39484815638014059</v>
      </c>
      <c r="CM74" s="14">
        <f t="shared" si="249"/>
        <v>0.39484815638014059</v>
      </c>
      <c r="CN74" s="14">
        <f t="shared" si="250"/>
        <v>0.39484815638014059</v>
      </c>
      <c r="CO74" s="14">
        <f t="shared" si="251"/>
        <v>0.39484815638014059</v>
      </c>
      <c r="CP74" s="14">
        <f t="shared" si="200"/>
        <v>0.39484815638014059</v>
      </c>
      <c r="CQ74" s="14">
        <f t="shared" si="201"/>
        <v>0.39484815638014059</v>
      </c>
      <c r="CR74" s="14">
        <f t="shared" si="202"/>
        <v>0.39484815638014059</v>
      </c>
      <c r="CS74" s="14">
        <f t="shared" si="203"/>
        <v>0.39484815638014059</v>
      </c>
      <c r="CT74" s="14">
        <f t="shared" si="204"/>
        <v>0.39484815638014059</v>
      </c>
      <c r="CU74" s="14">
        <f t="shared" si="205"/>
        <v>0.39484815638014059</v>
      </c>
      <c r="CW74" s="20"/>
      <c r="CX74" s="14">
        <f t="shared" si="133"/>
        <v>181.54555308595786</v>
      </c>
      <c r="CY74" s="14">
        <f t="shared" si="134"/>
        <v>169.20189688634443</v>
      </c>
      <c r="CZ74" s="14">
        <f t="shared" si="135"/>
        <v>156.9706526184562</v>
      </c>
      <c r="DA74" s="14">
        <f t="shared" si="136"/>
        <v>144.96200547026788</v>
      </c>
      <c r="DB74" s="14">
        <f t="shared" si="137"/>
        <v>133.28176975923168</v>
      </c>
      <c r="DC74" s="14">
        <f t="shared" si="138"/>
        <v>122.02940491399563</v>
      </c>
      <c r="DD74" s="14">
        <f t="shared" si="139"/>
        <v>111.29625922733644</v>
      </c>
      <c r="DE74" s="14">
        <f t="shared" si="140"/>
        <v>101.16409531399144</v>
      </c>
      <c r="DF74" s="14">
        <f t="shared" si="141"/>
        <v>91.703934683844039</v>
      </c>
      <c r="DG74" s="14">
        <f t="shared" si="142"/>
        <v>82.975240826578002</v>
      </c>
      <c r="DH74" s="14">
        <f t="shared" si="143"/>
        <v>75.025442075984756</v>
      </c>
      <c r="DI74" s="14">
        <f t="shared" si="144"/>
        <v>67.889778606456829</v>
      </c>
      <c r="DJ74" s="14">
        <f t="shared" si="145"/>
        <v>61.591443368458535</v>
      </c>
      <c r="DK74" s="14">
        <f t="shared" si="146"/>
        <v>56.141975487782339</v>
      </c>
      <c r="DL74" s="14">
        <f t="shared" si="147"/>
        <v>51.541857199525808</v>
      </c>
      <c r="DM74" s="14">
        <f t="shared" si="148"/>
        <v>47.781261966169374</v>
      </c>
      <c r="DN74" s="14">
        <f t="shared" si="149"/>
        <v>44.84090188960954</v>
      </c>
      <c r="DO74" s="14">
        <f t="shared" si="150"/>
        <v>42.692926404100469</v>
      </c>
      <c r="DP74" s="14">
        <f t="shared" si="151"/>
        <v>41.301830817414327</v>
      </c>
      <c r="DQ74" s="14">
        <f t="shared" si="152"/>
        <v>40.625341676344313</v>
      </c>
      <c r="DR74" s="14">
        <f t="shared" si="153"/>
        <v>40.615255229770071</v>
      </c>
      <c r="DS74" s="14">
        <f t="shared" si="154"/>
        <v>41.218214537720876</v>
      </c>
      <c r="DT74" s="14">
        <f t="shared" si="155"/>
        <v>42.376419233337685</v>
      </c>
      <c r="DU74" s="14">
        <f t="shared" si="156"/>
        <v>44.028268974055891</v>
      </c>
      <c r="DV74" s="14">
        <f t="shared" si="157"/>
        <v>46.108946832692986</v>
      </c>
      <c r="DW74" s="14">
        <f t="shared" si="158"/>
        <v>48.550952135870958</v>
      </c>
      <c r="DX74" s="14">
        <f t="shared" si="159"/>
        <v>51.284593647711326</v>
      </c>
      <c r="DY74" s="14">
        <f t="shared" si="160"/>
        <v>54.238453812593441</v>
      </c>
      <c r="DZ74" s="14">
        <f t="shared" si="161"/>
        <v>57.339833450550067</v>
      </c>
      <c r="EA74" s="14">
        <f t="shared" si="162"/>
        <v>60.515184361985952</v>
      </c>
    </row>
    <row r="75" spans="5:131" x14ac:dyDescent="0.25">
      <c r="E75" s="25"/>
      <c r="F75" s="6">
        <f t="shared" si="163"/>
        <v>300.00000000000006</v>
      </c>
      <c r="G75" s="6">
        <f t="shared" si="164"/>
        <v>279.60238189843903</v>
      </c>
      <c r="H75" s="6">
        <f t="shared" si="165"/>
        <v>259.39052202088482</v>
      </c>
      <c r="I75" s="6">
        <f t="shared" si="166"/>
        <v>239.54649894668296</v>
      </c>
      <c r="J75" s="6">
        <f t="shared" si="167"/>
        <v>220.24516848858153</v>
      </c>
      <c r="K75" s="6">
        <f t="shared" si="168"/>
        <v>201.65088514652416</v>
      </c>
      <c r="L75" s="6">
        <f t="shared" si="169"/>
        <v>183.91459994832277</v>
      </c>
      <c r="M75" s="6">
        <f t="shared" si="170"/>
        <v>167.17142380142872</v>
      </c>
      <c r="N75" s="6">
        <f t="shared" si="171"/>
        <v>151.53871817574776</v>
      </c>
      <c r="O75" s="6">
        <f t="shared" si="172"/>
        <v>137.11474516914944</v>
      </c>
      <c r="P75" s="6">
        <f t="shared" si="173"/>
        <v>123.97787905131753</v>
      </c>
      <c r="Q75" s="6">
        <f t="shared" si="174"/>
        <v>112.18635342884849</v>
      </c>
      <c r="R75" s="6">
        <f t="shared" si="175"/>
        <v>101.77849413799136</v>
      </c>
      <c r="S75" s="6">
        <f t="shared" si="176"/>
        <v>92.773369328193368</v>
      </c>
      <c r="T75" s="6">
        <f t="shared" si="177"/>
        <v>85.171775882257833</v>
      </c>
      <c r="U75" s="6">
        <f t="shared" si="178"/>
        <v>78.957475664875147</v>
      </c>
      <c r="V75" s="6">
        <f t="shared" si="179"/>
        <v>74.098595852212952</v>
      </c>
      <c r="W75" s="6">
        <f t="shared" si="180"/>
        <v>70.549114002070283</v>
      </c>
      <c r="X75" s="6">
        <f t="shared" si="181"/>
        <v>68.250359397994416</v>
      </c>
      <c r="Y75" s="6">
        <f t="shared" si="182"/>
        <v>67.132476096138419</v>
      </c>
      <c r="Z75" s="6">
        <f t="shared" si="183"/>
        <v>67.115808466880438</v>
      </c>
      <c r="AA75" s="6">
        <f t="shared" si="184"/>
        <v>68.112185350315272</v>
      </c>
      <c r="AB75" s="6">
        <f t="shared" si="185"/>
        <v>70.026092922154987</v>
      </c>
      <c r="AC75" s="6">
        <f t="shared" si="186"/>
        <v>72.755737982537312</v>
      </c>
      <c r="AD75" s="6">
        <f t="shared" si="187"/>
        <v>76.194011996859118</v>
      </c>
      <c r="AE75" s="6">
        <f t="shared" si="188"/>
        <v>80.229371599451639</v>
      </c>
      <c r="AF75" s="6">
        <f t="shared" si="189"/>
        <v>84.746653568698292</v>
      </c>
      <c r="AG75" s="6">
        <f t="shared" si="190"/>
        <v>89.627841977896409</v>
      </c>
      <c r="AH75" s="6">
        <f t="shared" si="191"/>
        <v>94.752803044535455</v>
      </c>
      <c r="AI75" s="6">
        <f t="shared" si="191"/>
        <v>100.00000000000001</v>
      </c>
      <c r="AK75" s="21"/>
      <c r="AL75" s="14">
        <f t="shared" si="192"/>
        <v>-1076400000</v>
      </c>
      <c r="AM75" s="14">
        <f t="shared" si="206"/>
        <v>-1003213346.2515991</v>
      </c>
      <c r="AN75" s="14">
        <f t="shared" si="207"/>
        <v>-930693193.01093471</v>
      </c>
      <c r="AO75" s="14">
        <f t="shared" si="208"/>
        <v>-859492838.22069836</v>
      </c>
      <c r="AP75" s="14">
        <f t="shared" si="209"/>
        <v>-790239664.53703058</v>
      </c>
      <c r="AQ75" s="14">
        <f t="shared" si="210"/>
        <v>-723523375.9057287</v>
      </c>
      <c r="AR75" s="14">
        <f t="shared" si="211"/>
        <v>-659885584.61458206</v>
      </c>
      <c r="AS75" s="14">
        <f t="shared" si="212"/>
        <v>-599811068.59952629</v>
      </c>
      <c r="AT75" s="14">
        <f t="shared" si="213"/>
        <v>-543720920.81458294</v>
      </c>
      <c r="AU75" s="14">
        <f t="shared" si="214"/>
        <v>-491967705.6669082</v>
      </c>
      <c r="AV75" s="14">
        <f t="shared" si="215"/>
        <v>-444832630.03612727</v>
      </c>
      <c r="AW75" s="14">
        <f t="shared" si="216"/>
        <v>-402524636.1027084</v>
      </c>
      <c r="AX75" s="14">
        <f t="shared" si="217"/>
        <v>-365181236.96711296</v>
      </c>
      <c r="AY75" s="14">
        <f t="shared" si="218"/>
        <v>-332870849.14955783</v>
      </c>
      <c r="AZ75" s="14">
        <f t="shared" si="219"/>
        <v>-305596331.8655411</v>
      </c>
      <c r="BA75" s="14">
        <f t="shared" si="220"/>
        <v>-283299422.68557197</v>
      </c>
      <c r="BB75" s="14">
        <f t="shared" si="221"/>
        <v>-265865761.91774008</v>
      </c>
      <c r="BC75" s="14">
        <f t="shared" si="222"/>
        <v>-253130221.03942817</v>
      </c>
      <c r="BD75" s="14">
        <f t="shared" si="223"/>
        <v>-244882289.52000397</v>
      </c>
      <c r="BE75" s="14">
        <f t="shared" si="224"/>
        <v>-240871324.23294464</v>
      </c>
      <c r="BF75" s="14">
        <f t="shared" si="225"/>
        <v>-240811520.779167</v>
      </c>
      <c r="BG75" s="14">
        <f t="shared" si="226"/>
        <v>-244386521.03693116</v>
      </c>
      <c r="BH75" s="14">
        <f t="shared" si="227"/>
        <v>-251253621.40469205</v>
      </c>
      <c r="BI75" s="14">
        <f t="shared" si="228"/>
        <v>-261047587.88134387</v>
      </c>
      <c r="BJ75" s="14">
        <f t="shared" si="194"/>
        <v>-273384115.04473048</v>
      </c>
      <c r="BK75" s="14">
        <f t="shared" si="195"/>
        <v>-287862985.29883248</v>
      </c>
      <c r="BL75" s="14">
        <f t="shared" si="196"/>
        <v>-304070993.00448948</v>
      </c>
      <c r="BM75" s="14">
        <f t="shared" si="197"/>
        <v>-321584697.01669234</v>
      </c>
      <c r="BN75" s="14">
        <f t="shared" si="198"/>
        <v>-339973057.32379323</v>
      </c>
      <c r="BO75" s="14">
        <f t="shared" si="199"/>
        <v>-358800000</v>
      </c>
      <c r="BQ75" s="20"/>
      <c r="BR75" s="14">
        <f t="shared" si="193"/>
        <v>0.3948481563801427</v>
      </c>
      <c r="BS75" s="14">
        <f t="shared" si="229"/>
        <v>0.3948481563801427</v>
      </c>
      <c r="BT75" s="14">
        <f t="shared" si="230"/>
        <v>0.3948481563801427</v>
      </c>
      <c r="BU75" s="14">
        <f t="shared" si="231"/>
        <v>0.3948481563801427</v>
      </c>
      <c r="BV75" s="14">
        <f t="shared" si="232"/>
        <v>0.3948481563801427</v>
      </c>
      <c r="BW75" s="14">
        <f t="shared" si="233"/>
        <v>0.3948481563801427</v>
      </c>
      <c r="BX75" s="14">
        <f t="shared" si="234"/>
        <v>0.3948481563801427</v>
      </c>
      <c r="BY75" s="14">
        <f t="shared" si="235"/>
        <v>0.3948481563801427</v>
      </c>
      <c r="BZ75" s="14">
        <f t="shared" si="236"/>
        <v>0.3948481563801427</v>
      </c>
      <c r="CA75" s="14">
        <f t="shared" si="237"/>
        <v>0.3948481563801427</v>
      </c>
      <c r="CB75" s="14">
        <f t="shared" si="238"/>
        <v>0.3948481563801427</v>
      </c>
      <c r="CC75" s="14">
        <f t="shared" si="239"/>
        <v>0.3948481563801427</v>
      </c>
      <c r="CD75" s="14">
        <f t="shared" si="240"/>
        <v>0.3948481563801427</v>
      </c>
      <c r="CE75" s="14">
        <f t="shared" si="241"/>
        <v>0.3948481563801427</v>
      </c>
      <c r="CF75" s="14">
        <f t="shared" si="242"/>
        <v>0.3948481563801427</v>
      </c>
      <c r="CG75" s="14">
        <f t="shared" si="243"/>
        <v>0.3948481563801427</v>
      </c>
      <c r="CH75" s="14">
        <f t="shared" si="244"/>
        <v>0.3948481563801427</v>
      </c>
      <c r="CI75" s="14">
        <f t="shared" si="245"/>
        <v>0.3948481563801427</v>
      </c>
      <c r="CJ75" s="14">
        <f t="shared" si="246"/>
        <v>0.3948481563801427</v>
      </c>
      <c r="CK75" s="14">
        <f t="shared" si="247"/>
        <v>0.3948481563801427</v>
      </c>
      <c r="CL75" s="14">
        <f t="shared" si="248"/>
        <v>0.3948481563801427</v>
      </c>
      <c r="CM75" s="14">
        <f t="shared" si="249"/>
        <v>0.3948481563801427</v>
      </c>
      <c r="CN75" s="14">
        <f t="shared" si="250"/>
        <v>0.3948481563801427</v>
      </c>
      <c r="CO75" s="14">
        <f t="shared" si="251"/>
        <v>0.3948481563801427</v>
      </c>
      <c r="CP75" s="14">
        <f t="shared" si="200"/>
        <v>0.3948481563801427</v>
      </c>
      <c r="CQ75" s="14">
        <f t="shared" si="201"/>
        <v>0.3948481563801427</v>
      </c>
      <c r="CR75" s="14">
        <f t="shared" si="202"/>
        <v>0.3948481563801427</v>
      </c>
      <c r="CS75" s="14">
        <f t="shared" si="203"/>
        <v>0.3948481563801427</v>
      </c>
      <c r="CT75" s="14">
        <f t="shared" si="204"/>
        <v>0.3948481563801427</v>
      </c>
      <c r="CU75" s="14">
        <f t="shared" si="205"/>
        <v>0.3948481563801427</v>
      </c>
      <c r="CW75" s="20"/>
      <c r="CX75" s="14">
        <f t="shared" si="133"/>
        <v>181.54555308595724</v>
      </c>
      <c r="CY75" s="14">
        <f t="shared" si="134"/>
        <v>169.2018968863438</v>
      </c>
      <c r="CZ75" s="14">
        <f t="shared" si="135"/>
        <v>156.97065261845566</v>
      </c>
      <c r="DA75" s="14">
        <f t="shared" si="136"/>
        <v>144.9620054702674</v>
      </c>
      <c r="DB75" s="14">
        <f t="shared" si="137"/>
        <v>133.28176975923122</v>
      </c>
      <c r="DC75" s="14">
        <f t="shared" si="138"/>
        <v>122.02940491399521</v>
      </c>
      <c r="DD75" s="14">
        <f t="shared" si="139"/>
        <v>111.29625922733605</v>
      </c>
      <c r="DE75" s="14">
        <f t="shared" si="140"/>
        <v>101.16409531399111</v>
      </c>
      <c r="DF75" s="14">
        <f t="shared" si="141"/>
        <v>91.703934683843741</v>
      </c>
      <c r="DG75" s="14">
        <f t="shared" si="142"/>
        <v>82.975240826577718</v>
      </c>
      <c r="DH75" s="14">
        <f t="shared" si="143"/>
        <v>75.0254420759845</v>
      </c>
      <c r="DI75" s="14">
        <f t="shared" si="144"/>
        <v>67.889778606456574</v>
      </c>
      <c r="DJ75" s="14">
        <f t="shared" si="145"/>
        <v>61.591443368458314</v>
      </c>
      <c r="DK75" s="14">
        <f t="shared" si="146"/>
        <v>56.141975487782148</v>
      </c>
      <c r="DL75" s="14">
        <f t="shared" si="147"/>
        <v>51.54185719952563</v>
      </c>
      <c r="DM75" s="14">
        <f t="shared" si="148"/>
        <v>47.781261966169218</v>
      </c>
      <c r="DN75" s="14">
        <f t="shared" si="149"/>
        <v>44.840901889609391</v>
      </c>
      <c r="DO75" s="14">
        <f t="shared" si="150"/>
        <v>42.692926404100326</v>
      </c>
      <c r="DP75" s="14">
        <f t="shared" si="151"/>
        <v>41.301830817414178</v>
      </c>
      <c r="DQ75" s="14">
        <f t="shared" si="152"/>
        <v>40.625341676344163</v>
      </c>
      <c r="DR75" s="14">
        <f t="shared" si="153"/>
        <v>40.615255229769929</v>
      </c>
      <c r="DS75" s="14">
        <f t="shared" si="154"/>
        <v>41.218214537720726</v>
      </c>
      <c r="DT75" s="14">
        <f t="shared" si="155"/>
        <v>42.376419233337536</v>
      </c>
      <c r="DU75" s="14">
        <f t="shared" si="156"/>
        <v>44.028268974055734</v>
      </c>
      <c r="DV75" s="14">
        <f t="shared" si="157"/>
        <v>46.108946832692823</v>
      </c>
      <c r="DW75" s="14">
        <f t="shared" si="158"/>
        <v>48.550952135870787</v>
      </c>
      <c r="DX75" s="14">
        <f t="shared" si="159"/>
        <v>51.284593647711141</v>
      </c>
      <c r="DY75" s="14">
        <f t="shared" si="160"/>
        <v>54.238453812593256</v>
      </c>
      <c r="DZ75" s="14">
        <f t="shared" si="161"/>
        <v>57.339833450549861</v>
      </c>
      <c r="EA75" s="14">
        <f t="shared" si="162"/>
        <v>60.515184361985739</v>
      </c>
    </row>
    <row r="76" spans="5:131" x14ac:dyDescent="0.25">
      <c r="E76" s="25"/>
      <c r="F76" s="6">
        <f t="shared" si="163"/>
        <v>300</v>
      </c>
      <c r="G76" s="6">
        <f t="shared" si="164"/>
        <v>279.60238189843903</v>
      </c>
      <c r="H76" s="6">
        <f t="shared" si="165"/>
        <v>259.39052202088476</v>
      </c>
      <c r="I76" s="6">
        <f t="shared" si="166"/>
        <v>239.54649894668293</v>
      </c>
      <c r="J76" s="6">
        <f t="shared" si="167"/>
        <v>220.24516848858153</v>
      </c>
      <c r="K76" s="6">
        <f t="shared" si="168"/>
        <v>201.65088514652413</v>
      </c>
      <c r="L76" s="6">
        <f t="shared" si="169"/>
        <v>183.91459994832275</v>
      </c>
      <c r="M76" s="6">
        <f t="shared" si="170"/>
        <v>167.17142380142874</v>
      </c>
      <c r="N76" s="6">
        <f t="shared" si="171"/>
        <v>151.53871817574776</v>
      </c>
      <c r="O76" s="6">
        <f t="shared" si="172"/>
        <v>137.11474516914944</v>
      </c>
      <c r="P76" s="6">
        <f t="shared" si="173"/>
        <v>123.97787905131753</v>
      </c>
      <c r="Q76" s="6">
        <f t="shared" si="174"/>
        <v>112.18635342884849</v>
      </c>
      <c r="R76" s="6">
        <f t="shared" si="175"/>
        <v>101.77849413799134</v>
      </c>
      <c r="S76" s="6">
        <f t="shared" si="176"/>
        <v>92.773369328193382</v>
      </c>
      <c r="T76" s="6">
        <f t="shared" si="177"/>
        <v>85.171775882257833</v>
      </c>
      <c r="U76" s="6">
        <f t="shared" si="178"/>
        <v>78.957475664875147</v>
      </c>
      <c r="V76" s="6">
        <f t="shared" si="179"/>
        <v>74.098595852212952</v>
      </c>
      <c r="W76" s="6">
        <f t="shared" si="180"/>
        <v>70.549114002070283</v>
      </c>
      <c r="X76" s="6">
        <f t="shared" si="181"/>
        <v>68.250359397994416</v>
      </c>
      <c r="Y76" s="6">
        <f t="shared" si="182"/>
        <v>67.132476096138419</v>
      </c>
      <c r="Z76" s="6">
        <f t="shared" si="183"/>
        <v>67.115808466880438</v>
      </c>
      <c r="AA76" s="6">
        <f t="shared" si="184"/>
        <v>68.112185350315272</v>
      </c>
      <c r="AB76" s="6">
        <f t="shared" si="185"/>
        <v>70.026092922154987</v>
      </c>
      <c r="AC76" s="6">
        <f t="shared" si="186"/>
        <v>72.755737982537312</v>
      </c>
      <c r="AD76" s="6">
        <f t="shared" si="187"/>
        <v>76.194011996859103</v>
      </c>
      <c r="AE76" s="6">
        <f t="shared" si="188"/>
        <v>80.229371599451639</v>
      </c>
      <c r="AF76" s="6">
        <f t="shared" si="189"/>
        <v>84.746653568698292</v>
      </c>
      <c r="AG76" s="6">
        <f t="shared" si="190"/>
        <v>89.627841977896395</v>
      </c>
      <c r="AH76" s="6">
        <f t="shared" si="191"/>
        <v>94.752803044535426</v>
      </c>
      <c r="AI76" s="6">
        <f t="shared" si="191"/>
        <v>100</v>
      </c>
      <c r="AK76" s="21"/>
      <c r="AL76" s="14">
        <f t="shared" si="192"/>
        <v>-1076400000</v>
      </c>
      <c r="AM76" s="14">
        <f t="shared" si="206"/>
        <v>-1003213346.2515991</v>
      </c>
      <c r="AN76" s="14">
        <f t="shared" si="207"/>
        <v>-930693193.01093447</v>
      </c>
      <c r="AO76" s="14">
        <f t="shared" si="208"/>
        <v>-859492838.22069824</v>
      </c>
      <c r="AP76" s="14">
        <f t="shared" si="209"/>
        <v>-790239664.53703046</v>
      </c>
      <c r="AQ76" s="14">
        <f t="shared" si="210"/>
        <v>-723523375.90572846</v>
      </c>
      <c r="AR76" s="14">
        <f t="shared" si="211"/>
        <v>-659885584.61458206</v>
      </c>
      <c r="AS76" s="14">
        <f t="shared" si="212"/>
        <v>-599811068.59952629</v>
      </c>
      <c r="AT76" s="14">
        <f t="shared" si="213"/>
        <v>-543720920.81458294</v>
      </c>
      <c r="AU76" s="14">
        <f t="shared" si="214"/>
        <v>-491967705.6669082</v>
      </c>
      <c r="AV76" s="14">
        <f t="shared" si="215"/>
        <v>-444832630.03612727</v>
      </c>
      <c r="AW76" s="14">
        <f t="shared" si="216"/>
        <v>-402524636.1027084</v>
      </c>
      <c r="AX76" s="14">
        <f t="shared" si="217"/>
        <v>-365181236.96711296</v>
      </c>
      <c r="AY76" s="14">
        <f t="shared" si="218"/>
        <v>-332870849.14955783</v>
      </c>
      <c r="AZ76" s="14">
        <f t="shared" si="219"/>
        <v>-305596331.8655411</v>
      </c>
      <c r="BA76" s="14">
        <f t="shared" si="220"/>
        <v>-283299422.68557197</v>
      </c>
      <c r="BB76" s="14">
        <f t="shared" si="221"/>
        <v>-265865761.91774008</v>
      </c>
      <c r="BC76" s="14">
        <f t="shared" si="222"/>
        <v>-253130221.03942817</v>
      </c>
      <c r="BD76" s="14">
        <f t="shared" si="223"/>
        <v>-244882289.52000397</v>
      </c>
      <c r="BE76" s="14">
        <f t="shared" si="224"/>
        <v>-240871324.23294464</v>
      </c>
      <c r="BF76" s="14">
        <f t="shared" si="225"/>
        <v>-240811520.779167</v>
      </c>
      <c r="BG76" s="14">
        <f t="shared" si="226"/>
        <v>-244386521.03693116</v>
      </c>
      <c r="BH76" s="14">
        <f t="shared" si="227"/>
        <v>-251253621.40469205</v>
      </c>
      <c r="BI76" s="14">
        <f t="shared" si="228"/>
        <v>-261047587.88134387</v>
      </c>
      <c r="BJ76" s="14">
        <f t="shared" si="194"/>
        <v>-273384115.04473048</v>
      </c>
      <c r="BK76" s="14">
        <f t="shared" si="195"/>
        <v>-287862985.29883248</v>
      </c>
      <c r="BL76" s="14">
        <f t="shared" si="196"/>
        <v>-304070993.00448948</v>
      </c>
      <c r="BM76" s="14">
        <f t="shared" si="197"/>
        <v>-321584697.01669228</v>
      </c>
      <c r="BN76" s="14">
        <f t="shared" si="198"/>
        <v>-339973057.32379311</v>
      </c>
      <c r="BO76" s="14">
        <f t="shared" si="199"/>
        <v>-358800000</v>
      </c>
      <c r="BQ76" s="20"/>
      <c r="BR76" s="14">
        <f t="shared" si="193"/>
        <v>0.39484815638015619</v>
      </c>
      <c r="BS76" s="14">
        <f t="shared" si="229"/>
        <v>0.39484815638015619</v>
      </c>
      <c r="BT76" s="14">
        <f t="shared" si="230"/>
        <v>0.39484815638015619</v>
      </c>
      <c r="BU76" s="14">
        <f t="shared" si="231"/>
        <v>0.39484815638015619</v>
      </c>
      <c r="BV76" s="14">
        <f t="shared" si="232"/>
        <v>0.39484815638015619</v>
      </c>
      <c r="BW76" s="14">
        <f t="shared" si="233"/>
        <v>0.39484815638015619</v>
      </c>
      <c r="BX76" s="14">
        <f t="shared" si="234"/>
        <v>0.39484815638015619</v>
      </c>
      <c r="BY76" s="14">
        <f t="shared" si="235"/>
        <v>0.39484815638015619</v>
      </c>
      <c r="BZ76" s="14">
        <f t="shared" si="236"/>
        <v>0.39484815638015619</v>
      </c>
      <c r="CA76" s="14">
        <f t="shared" si="237"/>
        <v>0.39484815638015619</v>
      </c>
      <c r="CB76" s="14">
        <f t="shared" si="238"/>
        <v>0.39484815638015619</v>
      </c>
      <c r="CC76" s="14">
        <f t="shared" si="239"/>
        <v>0.39484815638015619</v>
      </c>
      <c r="CD76" s="14">
        <f t="shared" si="240"/>
        <v>0.39484815638015619</v>
      </c>
      <c r="CE76" s="14">
        <f t="shared" si="241"/>
        <v>0.39484815638015619</v>
      </c>
      <c r="CF76" s="14">
        <f t="shared" si="242"/>
        <v>0.39484815638015619</v>
      </c>
      <c r="CG76" s="14">
        <f t="shared" si="243"/>
        <v>0.39484815638015619</v>
      </c>
      <c r="CH76" s="14">
        <f t="shared" si="244"/>
        <v>0.39484815638015619</v>
      </c>
      <c r="CI76" s="14">
        <f t="shared" si="245"/>
        <v>0.39484815638015619</v>
      </c>
      <c r="CJ76" s="14">
        <f t="shared" si="246"/>
        <v>0.39484815638015619</v>
      </c>
      <c r="CK76" s="14">
        <f t="shared" si="247"/>
        <v>0.39484815638015619</v>
      </c>
      <c r="CL76" s="14">
        <f t="shared" si="248"/>
        <v>0.39484815638015619</v>
      </c>
      <c r="CM76" s="14">
        <f t="shared" si="249"/>
        <v>0.39484815638015619</v>
      </c>
      <c r="CN76" s="14">
        <f t="shared" si="250"/>
        <v>0.39484815638015619</v>
      </c>
      <c r="CO76" s="14">
        <f t="shared" si="251"/>
        <v>0.39484815638015619</v>
      </c>
      <c r="CP76" s="14">
        <f t="shared" si="200"/>
        <v>0.39484815638015619</v>
      </c>
      <c r="CQ76" s="14">
        <f t="shared" si="201"/>
        <v>0.39484815638015619</v>
      </c>
      <c r="CR76" s="14">
        <f t="shared" si="202"/>
        <v>0.39484815638015619</v>
      </c>
      <c r="CS76" s="14">
        <f t="shared" si="203"/>
        <v>0.39484815638015619</v>
      </c>
      <c r="CT76" s="14">
        <f t="shared" si="204"/>
        <v>0.39484815638015619</v>
      </c>
      <c r="CU76" s="14">
        <f t="shared" si="205"/>
        <v>0.39484815638015619</v>
      </c>
      <c r="CW76" s="20"/>
      <c r="CX76" s="14">
        <f t="shared" si="133"/>
        <v>181.54555308595315</v>
      </c>
      <c r="CY76" s="14">
        <f t="shared" si="134"/>
        <v>169.20189688634002</v>
      </c>
      <c r="CZ76" s="14">
        <f t="shared" si="135"/>
        <v>156.97065261845211</v>
      </c>
      <c r="DA76" s="14">
        <f t="shared" si="136"/>
        <v>144.96200547026413</v>
      </c>
      <c r="DB76" s="14">
        <f t="shared" si="137"/>
        <v>133.28176975922824</v>
      </c>
      <c r="DC76" s="14">
        <f t="shared" si="138"/>
        <v>122.02940491399245</v>
      </c>
      <c r="DD76" s="14">
        <f t="shared" si="139"/>
        <v>111.29625922733355</v>
      </c>
      <c r="DE76" s="14">
        <f t="shared" si="140"/>
        <v>101.16409531398885</v>
      </c>
      <c r="DF76" s="14">
        <f t="shared" si="141"/>
        <v>91.70393468384168</v>
      </c>
      <c r="DG76" s="14">
        <f t="shared" si="142"/>
        <v>82.975240826575856</v>
      </c>
      <c r="DH76" s="14">
        <f t="shared" si="143"/>
        <v>75.025442075982809</v>
      </c>
      <c r="DI76" s="14">
        <f t="shared" si="144"/>
        <v>67.889778606455053</v>
      </c>
      <c r="DJ76" s="14">
        <f t="shared" si="145"/>
        <v>61.591443368456929</v>
      </c>
      <c r="DK76" s="14">
        <f t="shared" si="146"/>
        <v>56.141975487780897</v>
      </c>
      <c r="DL76" s="14">
        <f t="shared" si="147"/>
        <v>51.541857199524472</v>
      </c>
      <c r="DM76" s="14">
        <f t="shared" si="148"/>
        <v>47.781261966168145</v>
      </c>
      <c r="DN76" s="14">
        <f t="shared" si="149"/>
        <v>44.840901889608382</v>
      </c>
      <c r="DO76" s="14">
        <f t="shared" si="150"/>
        <v>42.692926404099367</v>
      </c>
      <c r="DP76" s="14">
        <f t="shared" si="151"/>
        <v>41.301830817413254</v>
      </c>
      <c r="DQ76" s="14">
        <f t="shared" si="152"/>
        <v>40.625341676343254</v>
      </c>
      <c r="DR76" s="14">
        <f t="shared" si="153"/>
        <v>40.615255229769019</v>
      </c>
      <c r="DS76" s="14">
        <f t="shared" si="154"/>
        <v>41.218214537719803</v>
      </c>
      <c r="DT76" s="14">
        <f t="shared" si="155"/>
        <v>42.376419233336584</v>
      </c>
      <c r="DU76" s="14">
        <f t="shared" si="156"/>
        <v>44.028268974054747</v>
      </c>
      <c r="DV76" s="14">
        <f t="shared" si="157"/>
        <v>46.108946832691785</v>
      </c>
      <c r="DW76" s="14">
        <f t="shared" si="158"/>
        <v>48.550952135869693</v>
      </c>
      <c r="DX76" s="14">
        <f t="shared" si="159"/>
        <v>51.28459364770999</v>
      </c>
      <c r="DY76" s="14">
        <f t="shared" si="160"/>
        <v>54.238453812592034</v>
      </c>
      <c r="DZ76" s="14">
        <f t="shared" si="161"/>
        <v>57.339833450548561</v>
      </c>
      <c r="EA76" s="14">
        <f t="shared" si="162"/>
        <v>60.515184361984382</v>
      </c>
    </row>
    <row r="77" spans="5:131" x14ac:dyDescent="0.25">
      <c r="E77" s="25"/>
      <c r="F77" s="6">
        <f t="shared" si="163"/>
        <v>300</v>
      </c>
      <c r="G77" s="6">
        <f t="shared" si="164"/>
        <v>279.60238189843903</v>
      </c>
      <c r="H77" s="6">
        <f t="shared" si="165"/>
        <v>259.39052202088476</v>
      </c>
      <c r="I77" s="6">
        <f t="shared" si="166"/>
        <v>239.5464989466829</v>
      </c>
      <c r="J77" s="6">
        <f t="shared" si="167"/>
        <v>220.2451684885815</v>
      </c>
      <c r="K77" s="6">
        <f t="shared" si="168"/>
        <v>201.65088514652413</v>
      </c>
      <c r="L77" s="6">
        <f t="shared" si="169"/>
        <v>183.91459994832275</v>
      </c>
      <c r="M77" s="6">
        <f t="shared" si="170"/>
        <v>167.17142380142872</v>
      </c>
      <c r="N77" s="6">
        <f t="shared" si="171"/>
        <v>151.53871817574773</v>
      </c>
      <c r="O77" s="6">
        <f t="shared" si="172"/>
        <v>137.11474516914944</v>
      </c>
      <c r="P77" s="6">
        <f t="shared" si="173"/>
        <v>123.9778790513175</v>
      </c>
      <c r="Q77" s="6">
        <f t="shared" si="174"/>
        <v>112.18635342884849</v>
      </c>
      <c r="R77" s="6">
        <f t="shared" si="175"/>
        <v>101.77849413799134</v>
      </c>
      <c r="S77" s="6">
        <f t="shared" si="176"/>
        <v>92.773369328193382</v>
      </c>
      <c r="T77" s="6">
        <f t="shared" si="177"/>
        <v>85.171775882257819</v>
      </c>
      <c r="U77" s="6">
        <f t="shared" si="178"/>
        <v>78.957475664875133</v>
      </c>
      <c r="V77" s="6">
        <f t="shared" si="179"/>
        <v>74.098595852212952</v>
      </c>
      <c r="W77" s="6">
        <f t="shared" si="180"/>
        <v>70.549114002070269</v>
      </c>
      <c r="X77" s="6">
        <f t="shared" si="181"/>
        <v>68.250359397994416</v>
      </c>
      <c r="Y77" s="6">
        <f t="shared" si="182"/>
        <v>67.132476096138419</v>
      </c>
      <c r="Z77" s="6">
        <f t="shared" si="183"/>
        <v>67.115808466880438</v>
      </c>
      <c r="AA77" s="6">
        <f t="shared" si="184"/>
        <v>68.112185350315272</v>
      </c>
      <c r="AB77" s="6">
        <f t="shared" si="185"/>
        <v>70.026092922154987</v>
      </c>
      <c r="AC77" s="6">
        <f t="shared" si="186"/>
        <v>72.755737982537312</v>
      </c>
      <c r="AD77" s="6">
        <f t="shared" si="187"/>
        <v>76.194011996859103</v>
      </c>
      <c r="AE77" s="6">
        <f t="shared" si="188"/>
        <v>80.229371599451611</v>
      </c>
      <c r="AF77" s="6">
        <f t="shared" si="189"/>
        <v>84.746653568698278</v>
      </c>
      <c r="AG77" s="6">
        <f t="shared" si="190"/>
        <v>89.627841977896395</v>
      </c>
      <c r="AH77" s="6">
        <f t="shared" si="191"/>
        <v>94.752803044535426</v>
      </c>
      <c r="AI77" s="6">
        <f t="shared" si="191"/>
        <v>99.999999999999986</v>
      </c>
      <c r="AK77" s="21"/>
      <c r="AL77" s="14">
        <f t="shared" si="192"/>
        <v>-1076400000</v>
      </c>
      <c r="AM77" s="14">
        <f t="shared" si="206"/>
        <v>-1003213346.2515991</v>
      </c>
      <c r="AN77" s="14">
        <f t="shared" si="207"/>
        <v>-930693193.01093447</v>
      </c>
      <c r="AO77" s="14">
        <f t="shared" si="208"/>
        <v>-859492838.22069824</v>
      </c>
      <c r="AP77" s="14">
        <f t="shared" si="209"/>
        <v>-790239664.53703046</v>
      </c>
      <c r="AQ77" s="14">
        <f t="shared" si="210"/>
        <v>-723523375.90572846</v>
      </c>
      <c r="AR77" s="14">
        <f t="shared" si="211"/>
        <v>-659885584.61458206</v>
      </c>
      <c r="AS77" s="14">
        <f t="shared" si="212"/>
        <v>-599811068.59952629</v>
      </c>
      <c r="AT77" s="14">
        <f t="shared" si="213"/>
        <v>-543720920.81458282</v>
      </c>
      <c r="AU77" s="14">
        <f t="shared" si="214"/>
        <v>-491967705.6669082</v>
      </c>
      <c r="AV77" s="14">
        <f t="shared" si="215"/>
        <v>-444832630.03612727</v>
      </c>
      <c r="AW77" s="14">
        <f t="shared" si="216"/>
        <v>-402524636.1027084</v>
      </c>
      <c r="AX77" s="14">
        <f t="shared" si="217"/>
        <v>-365181236.96711296</v>
      </c>
      <c r="AY77" s="14">
        <f t="shared" si="218"/>
        <v>-332870849.14955783</v>
      </c>
      <c r="AZ77" s="14">
        <f t="shared" si="219"/>
        <v>-305596331.86554104</v>
      </c>
      <c r="BA77" s="14">
        <f t="shared" si="220"/>
        <v>-283299422.68557197</v>
      </c>
      <c r="BB77" s="14">
        <f t="shared" si="221"/>
        <v>-265865761.91774008</v>
      </c>
      <c r="BC77" s="14">
        <f t="shared" si="222"/>
        <v>-253130221.03942811</v>
      </c>
      <c r="BD77" s="14">
        <f t="shared" si="223"/>
        <v>-244882289.52000397</v>
      </c>
      <c r="BE77" s="14">
        <f t="shared" si="224"/>
        <v>-240871324.23294464</v>
      </c>
      <c r="BF77" s="14">
        <f t="shared" si="225"/>
        <v>-240811520.779167</v>
      </c>
      <c r="BG77" s="14">
        <f t="shared" si="226"/>
        <v>-244386521.03693116</v>
      </c>
      <c r="BH77" s="14">
        <f t="shared" si="227"/>
        <v>-251253621.40469205</v>
      </c>
      <c r="BI77" s="14">
        <f t="shared" si="228"/>
        <v>-261047587.88134387</v>
      </c>
      <c r="BJ77" s="14">
        <f t="shared" si="194"/>
        <v>-273384115.04473048</v>
      </c>
      <c r="BK77" s="14">
        <f t="shared" si="195"/>
        <v>-287862985.29883236</v>
      </c>
      <c r="BL77" s="14">
        <f t="shared" si="196"/>
        <v>-304070993.00448936</v>
      </c>
      <c r="BM77" s="14">
        <f t="shared" si="197"/>
        <v>-321584697.01669216</v>
      </c>
      <c r="BN77" s="14">
        <f t="shared" si="198"/>
        <v>-339973057.32379311</v>
      </c>
      <c r="BO77" s="14">
        <f t="shared" si="199"/>
        <v>-358800000</v>
      </c>
      <c r="BQ77" s="20"/>
      <c r="BR77" s="14">
        <f t="shared" si="193"/>
        <v>0.39484815638024295</v>
      </c>
      <c r="BS77" s="14">
        <f t="shared" si="229"/>
        <v>0.39484815638024295</v>
      </c>
      <c r="BT77" s="14">
        <f t="shared" si="230"/>
        <v>0.39484815638024295</v>
      </c>
      <c r="BU77" s="14">
        <f t="shared" si="231"/>
        <v>0.39484815638024295</v>
      </c>
      <c r="BV77" s="14">
        <f t="shared" si="232"/>
        <v>0.39484815638024295</v>
      </c>
      <c r="BW77" s="14">
        <f t="shared" si="233"/>
        <v>0.39484815638024295</v>
      </c>
      <c r="BX77" s="14">
        <f t="shared" si="234"/>
        <v>0.39484815638024295</v>
      </c>
      <c r="BY77" s="14">
        <f t="shared" si="235"/>
        <v>0.39484815638024295</v>
      </c>
      <c r="BZ77" s="14">
        <f t="shared" si="236"/>
        <v>0.39484815638024295</v>
      </c>
      <c r="CA77" s="14">
        <f t="shared" si="237"/>
        <v>0.39484815638024295</v>
      </c>
      <c r="CB77" s="14">
        <f t="shared" si="238"/>
        <v>0.39484815638024295</v>
      </c>
      <c r="CC77" s="14">
        <f t="shared" si="239"/>
        <v>0.39484815638024295</v>
      </c>
      <c r="CD77" s="14">
        <f t="shared" si="240"/>
        <v>0.39484815638024295</v>
      </c>
      <c r="CE77" s="14">
        <f t="shared" si="241"/>
        <v>0.39484815638024295</v>
      </c>
      <c r="CF77" s="14">
        <f t="shared" si="242"/>
        <v>0.39484815638024295</v>
      </c>
      <c r="CG77" s="14">
        <f t="shared" si="243"/>
        <v>0.39484815638024295</v>
      </c>
      <c r="CH77" s="14">
        <f t="shared" si="244"/>
        <v>0.39484815638024295</v>
      </c>
      <c r="CI77" s="14">
        <f t="shared" si="245"/>
        <v>0.39484815638024295</v>
      </c>
      <c r="CJ77" s="14">
        <f t="shared" si="246"/>
        <v>0.39484815638024295</v>
      </c>
      <c r="CK77" s="14">
        <f t="shared" si="247"/>
        <v>0.39484815638024295</v>
      </c>
      <c r="CL77" s="14">
        <f t="shared" si="248"/>
        <v>0.39484815638024295</v>
      </c>
      <c r="CM77" s="14">
        <f t="shared" si="249"/>
        <v>0.39484815638024295</v>
      </c>
      <c r="CN77" s="14">
        <f t="shared" si="250"/>
        <v>0.39484815638024295</v>
      </c>
      <c r="CO77" s="14">
        <f t="shared" si="251"/>
        <v>0.39484815638024295</v>
      </c>
      <c r="CP77" s="14">
        <f t="shared" si="200"/>
        <v>0.39484815638024295</v>
      </c>
      <c r="CQ77" s="14">
        <f t="shared" si="201"/>
        <v>0.39484815638024295</v>
      </c>
      <c r="CR77" s="14">
        <f t="shared" si="202"/>
        <v>0.39484815638024295</v>
      </c>
      <c r="CS77" s="14">
        <f t="shared" si="203"/>
        <v>0.39484815638024295</v>
      </c>
      <c r="CT77" s="14">
        <f t="shared" si="204"/>
        <v>0.39484815638024295</v>
      </c>
      <c r="CU77" s="14">
        <f t="shared" si="205"/>
        <v>0.39484815638024295</v>
      </c>
      <c r="CW77" s="20"/>
      <c r="CX77" s="14">
        <f t="shared" si="133"/>
        <v>181.54555308592711</v>
      </c>
      <c r="CY77" s="14">
        <f t="shared" si="134"/>
        <v>169.20189688631575</v>
      </c>
      <c r="CZ77" s="14">
        <f t="shared" si="135"/>
        <v>156.9706526184296</v>
      </c>
      <c r="DA77" s="14">
        <f t="shared" si="136"/>
        <v>144.96200547024333</v>
      </c>
      <c r="DB77" s="14">
        <f t="shared" si="137"/>
        <v>133.28176975920911</v>
      </c>
      <c r="DC77" s="14">
        <f t="shared" si="138"/>
        <v>122.02940491397496</v>
      </c>
      <c r="DD77" s="14">
        <f t="shared" si="139"/>
        <v>111.29625922731759</v>
      </c>
      <c r="DE77" s="14">
        <f t="shared" si="140"/>
        <v>101.16409531397433</v>
      </c>
      <c r="DF77" s="14">
        <f t="shared" si="141"/>
        <v>91.703934683828521</v>
      </c>
      <c r="DG77" s="14">
        <f t="shared" si="142"/>
        <v>82.975240826563962</v>
      </c>
      <c r="DH77" s="14">
        <f t="shared" si="143"/>
        <v>75.025442075972038</v>
      </c>
      <c r="DI77" s="14">
        <f t="shared" si="144"/>
        <v>67.889778606445319</v>
      </c>
      <c r="DJ77" s="14">
        <f t="shared" si="145"/>
        <v>61.591443368448104</v>
      </c>
      <c r="DK77" s="14">
        <f t="shared" si="146"/>
        <v>56.141975487772839</v>
      </c>
      <c r="DL77" s="14">
        <f t="shared" si="147"/>
        <v>51.541857199517075</v>
      </c>
      <c r="DM77" s="14">
        <f t="shared" si="148"/>
        <v>47.781261966161289</v>
      </c>
      <c r="DN77" s="14">
        <f t="shared" si="149"/>
        <v>44.840901889601952</v>
      </c>
      <c r="DO77" s="14">
        <f t="shared" si="150"/>
        <v>42.692926404093235</v>
      </c>
      <c r="DP77" s="14">
        <f t="shared" si="151"/>
        <v>41.301830817407335</v>
      </c>
      <c r="DQ77" s="14">
        <f t="shared" si="152"/>
        <v>40.625341676337428</v>
      </c>
      <c r="DR77" s="14">
        <f t="shared" si="153"/>
        <v>40.615255229763193</v>
      </c>
      <c r="DS77" s="14">
        <f t="shared" si="154"/>
        <v>41.218214537713891</v>
      </c>
      <c r="DT77" s="14">
        <f t="shared" si="155"/>
        <v>42.376419233330502</v>
      </c>
      <c r="DU77" s="14">
        <f t="shared" si="156"/>
        <v>44.028268974048437</v>
      </c>
      <c r="DV77" s="14">
        <f t="shared" si="157"/>
        <v>46.108946832685177</v>
      </c>
      <c r="DW77" s="14">
        <f t="shared" si="158"/>
        <v>48.550952135862715</v>
      </c>
      <c r="DX77" s="14">
        <f t="shared" si="159"/>
        <v>51.284593647702621</v>
      </c>
      <c r="DY77" s="14">
        <f t="shared" si="160"/>
        <v>54.238453812584247</v>
      </c>
      <c r="DZ77" s="14">
        <f t="shared" si="161"/>
        <v>57.339833450540333</v>
      </c>
      <c r="EA77" s="14">
        <f t="shared" si="162"/>
        <v>60.515184361975692</v>
      </c>
    </row>
    <row r="78" spans="5:131" x14ac:dyDescent="0.25">
      <c r="E78" s="25"/>
      <c r="F78" s="6">
        <f t="shared" si="163"/>
        <v>300</v>
      </c>
      <c r="G78" s="6">
        <f t="shared" si="164"/>
        <v>279.60238189843909</v>
      </c>
      <c r="H78" s="6">
        <f t="shared" si="165"/>
        <v>259.39052202088482</v>
      </c>
      <c r="I78" s="6">
        <f t="shared" si="166"/>
        <v>239.54649894668296</v>
      </c>
      <c r="J78" s="6">
        <f t="shared" si="167"/>
        <v>220.24516848858156</v>
      </c>
      <c r="K78" s="6">
        <f t="shared" si="168"/>
        <v>201.65088514652416</v>
      </c>
      <c r="L78" s="6">
        <f t="shared" si="169"/>
        <v>183.91459994832277</v>
      </c>
      <c r="M78" s="6">
        <f t="shared" si="170"/>
        <v>167.17142380142874</v>
      </c>
      <c r="N78" s="6">
        <f t="shared" si="171"/>
        <v>151.53871817574776</v>
      </c>
      <c r="O78" s="6">
        <f t="shared" si="172"/>
        <v>137.11474516914944</v>
      </c>
      <c r="P78" s="6">
        <f t="shared" si="173"/>
        <v>123.97787905131753</v>
      </c>
      <c r="Q78" s="6">
        <f t="shared" si="174"/>
        <v>112.18635342884851</v>
      </c>
      <c r="R78" s="6">
        <f t="shared" si="175"/>
        <v>101.77849413799136</v>
      </c>
      <c r="S78" s="6">
        <f t="shared" si="176"/>
        <v>92.773369328193382</v>
      </c>
      <c r="T78" s="6">
        <f t="shared" si="177"/>
        <v>85.171775882257819</v>
      </c>
      <c r="U78" s="6">
        <f t="shared" si="178"/>
        <v>78.957475664875133</v>
      </c>
      <c r="V78" s="6">
        <f t="shared" si="179"/>
        <v>74.098595852212966</v>
      </c>
      <c r="W78" s="6">
        <f t="shared" si="180"/>
        <v>70.549114002070269</v>
      </c>
      <c r="X78" s="6">
        <f t="shared" si="181"/>
        <v>68.25035939799443</v>
      </c>
      <c r="Y78" s="6">
        <f t="shared" si="182"/>
        <v>67.132476096138419</v>
      </c>
      <c r="Z78" s="6">
        <f t="shared" si="183"/>
        <v>67.115808466880452</v>
      </c>
      <c r="AA78" s="6">
        <f t="shared" si="184"/>
        <v>68.112185350315272</v>
      </c>
      <c r="AB78" s="6">
        <f t="shared" si="185"/>
        <v>70.026092922154987</v>
      </c>
      <c r="AC78" s="6">
        <f t="shared" si="186"/>
        <v>72.755737982537312</v>
      </c>
      <c r="AD78" s="6">
        <f t="shared" si="187"/>
        <v>76.194011996859118</v>
      </c>
      <c r="AE78" s="6">
        <f t="shared" si="188"/>
        <v>80.229371599451639</v>
      </c>
      <c r="AF78" s="6">
        <f t="shared" si="189"/>
        <v>84.746653568698292</v>
      </c>
      <c r="AG78" s="6">
        <f t="shared" si="190"/>
        <v>89.627841977896395</v>
      </c>
      <c r="AH78" s="6">
        <f t="shared" si="191"/>
        <v>94.752803044535426</v>
      </c>
      <c r="AI78" s="6">
        <f t="shared" si="191"/>
        <v>100</v>
      </c>
      <c r="AK78" s="21"/>
      <c r="AL78" s="14">
        <f t="shared" si="192"/>
        <v>-1076400000</v>
      </c>
      <c r="AM78" s="14">
        <f t="shared" si="206"/>
        <v>-1003213346.2515997</v>
      </c>
      <c r="AN78" s="14">
        <f t="shared" si="207"/>
        <v>-930693193.01093495</v>
      </c>
      <c r="AO78" s="14">
        <f t="shared" si="208"/>
        <v>-859492838.22069836</v>
      </c>
      <c r="AP78" s="14">
        <f t="shared" si="209"/>
        <v>-790239664.53703058</v>
      </c>
      <c r="AQ78" s="14">
        <f t="shared" si="210"/>
        <v>-723523375.9057287</v>
      </c>
      <c r="AR78" s="14">
        <f t="shared" si="211"/>
        <v>-659885584.61458206</v>
      </c>
      <c r="AS78" s="14">
        <f t="shared" si="212"/>
        <v>-599811068.59952629</v>
      </c>
      <c r="AT78" s="14">
        <f t="shared" si="213"/>
        <v>-543720920.81458294</v>
      </c>
      <c r="AU78" s="14">
        <f t="shared" si="214"/>
        <v>-491967705.6669082</v>
      </c>
      <c r="AV78" s="14">
        <f t="shared" si="215"/>
        <v>-444832630.03612727</v>
      </c>
      <c r="AW78" s="14">
        <f t="shared" si="216"/>
        <v>-402524636.1027084</v>
      </c>
      <c r="AX78" s="14">
        <f t="shared" si="217"/>
        <v>-365181236.96711296</v>
      </c>
      <c r="AY78" s="14">
        <f t="shared" si="218"/>
        <v>-332870849.14955783</v>
      </c>
      <c r="AZ78" s="14">
        <f t="shared" si="219"/>
        <v>-305596331.86554104</v>
      </c>
      <c r="BA78" s="14">
        <f t="shared" si="220"/>
        <v>-283299422.68557197</v>
      </c>
      <c r="BB78" s="14">
        <f t="shared" si="221"/>
        <v>-265865761.91774008</v>
      </c>
      <c r="BC78" s="14">
        <f t="shared" si="222"/>
        <v>-253130221.03942811</v>
      </c>
      <c r="BD78" s="14">
        <f t="shared" si="223"/>
        <v>-244882289.52000397</v>
      </c>
      <c r="BE78" s="14">
        <f t="shared" si="224"/>
        <v>-240871324.23294464</v>
      </c>
      <c r="BF78" s="14">
        <f t="shared" si="225"/>
        <v>-240811520.779167</v>
      </c>
      <c r="BG78" s="14">
        <f t="shared" si="226"/>
        <v>-244386521.03693116</v>
      </c>
      <c r="BH78" s="14">
        <f t="shared" si="227"/>
        <v>-251253621.40469205</v>
      </c>
      <c r="BI78" s="14">
        <f t="shared" si="228"/>
        <v>-261047587.88134387</v>
      </c>
      <c r="BJ78" s="14">
        <f t="shared" si="194"/>
        <v>-273384115.04473048</v>
      </c>
      <c r="BK78" s="14">
        <f t="shared" si="195"/>
        <v>-287862985.29883248</v>
      </c>
      <c r="BL78" s="14">
        <f t="shared" si="196"/>
        <v>-304070993.00448948</v>
      </c>
      <c r="BM78" s="14">
        <f t="shared" si="197"/>
        <v>-321584697.01669228</v>
      </c>
      <c r="BN78" s="14">
        <f t="shared" si="198"/>
        <v>-339973057.32379311</v>
      </c>
      <c r="BO78" s="14">
        <f t="shared" si="199"/>
        <v>-358800000</v>
      </c>
      <c r="BQ78" s="20"/>
      <c r="BR78" s="14">
        <f t="shared" si="193"/>
        <v>0.39484815638079979</v>
      </c>
      <c r="BS78" s="14">
        <f t="shared" si="229"/>
        <v>0.39484815638079979</v>
      </c>
      <c r="BT78" s="14">
        <f t="shared" si="230"/>
        <v>0.39484815638079979</v>
      </c>
      <c r="BU78" s="14">
        <f t="shared" si="231"/>
        <v>0.39484815638079979</v>
      </c>
      <c r="BV78" s="14">
        <f t="shared" si="232"/>
        <v>0.39484815638079979</v>
      </c>
      <c r="BW78" s="14">
        <f t="shared" si="233"/>
        <v>0.39484815638079979</v>
      </c>
      <c r="BX78" s="14">
        <f t="shared" si="234"/>
        <v>0.39484815638079979</v>
      </c>
      <c r="BY78" s="14">
        <f t="shared" si="235"/>
        <v>0.39484815638079979</v>
      </c>
      <c r="BZ78" s="14">
        <f t="shared" si="236"/>
        <v>0.39484815638079979</v>
      </c>
      <c r="CA78" s="14">
        <f t="shared" si="237"/>
        <v>0.39484815638079979</v>
      </c>
      <c r="CB78" s="14">
        <f t="shared" si="238"/>
        <v>0.39484815638079979</v>
      </c>
      <c r="CC78" s="14">
        <f t="shared" si="239"/>
        <v>0.39484815638079979</v>
      </c>
      <c r="CD78" s="14">
        <f t="shared" si="240"/>
        <v>0.39484815638079979</v>
      </c>
      <c r="CE78" s="14">
        <f t="shared" si="241"/>
        <v>0.39484815638079979</v>
      </c>
      <c r="CF78" s="14">
        <f t="shared" si="242"/>
        <v>0.39484815638079979</v>
      </c>
      <c r="CG78" s="14">
        <f t="shared" si="243"/>
        <v>0.39484815638079979</v>
      </c>
      <c r="CH78" s="14">
        <f t="shared" si="244"/>
        <v>0.39484815638079979</v>
      </c>
      <c r="CI78" s="14">
        <f t="shared" si="245"/>
        <v>0.39484815638079979</v>
      </c>
      <c r="CJ78" s="14">
        <f t="shared" si="246"/>
        <v>0.39484815638079979</v>
      </c>
      <c r="CK78" s="14">
        <f t="shared" si="247"/>
        <v>0.39484815638079979</v>
      </c>
      <c r="CL78" s="14">
        <f t="shared" si="248"/>
        <v>0.39484815638079979</v>
      </c>
      <c r="CM78" s="14">
        <f t="shared" si="249"/>
        <v>0.39484815638079979</v>
      </c>
      <c r="CN78" s="14">
        <f t="shared" si="250"/>
        <v>0.39484815638079979</v>
      </c>
      <c r="CO78" s="14">
        <f t="shared" si="251"/>
        <v>0.39484815638079979</v>
      </c>
      <c r="CP78" s="14">
        <f t="shared" si="200"/>
        <v>0.39484815638079979</v>
      </c>
      <c r="CQ78" s="14">
        <f t="shared" si="201"/>
        <v>0.39484815638079979</v>
      </c>
      <c r="CR78" s="14">
        <f t="shared" si="202"/>
        <v>0.39484815638079979</v>
      </c>
      <c r="CS78" s="14">
        <f t="shared" si="203"/>
        <v>0.39484815638079979</v>
      </c>
      <c r="CT78" s="14">
        <f t="shared" si="204"/>
        <v>0.39484815638079979</v>
      </c>
      <c r="CU78" s="14">
        <f t="shared" si="205"/>
        <v>0.39484815638079979</v>
      </c>
      <c r="CW78" s="20"/>
      <c r="CX78" s="14">
        <f t="shared" si="133"/>
        <v>181.54555308576008</v>
      </c>
      <c r="CY78" s="14">
        <f t="shared" si="134"/>
        <v>169.20189688616014</v>
      </c>
      <c r="CZ78" s="14">
        <f t="shared" si="135"/>
        <v>156.97065261828521</v>
      </c>
      <c r="DA78" s="14">
        <f t="shared" si="136"/>
        <v>144.96200547011</v>
      </c>
      <c r="DB78" s="14">
        <f t="shared" si="137"/>
        <v>133.28176975908653</v>
      </c>
      <c r="DC78" s="14">
        <f t="shared" si="138"/>
        <v>122.02940491386271</v>
      </c>
      <c r="DD78" s="14">
        <f t="shared" si="139"/>
        <v>111.2962592272152</v>
      </c>
      <c r="DE78" s="14">
        <f t="shared" si="140"/>
        <v>101.16409531388126</v>
      </c>
      <c r="DF78" s="14">
        <f t="shared" si="141"/>
        <v>91.703934683744166</v>
      </c>
      <c r="DG78" s="14">
        <f t="shared" si="142"/>
        <v>82.975240826487621</v>
      </c>
      <c r="DH78" s="14">
        <f t="shared" si="143"/>
        <v>75.02544207590303</v>
      </c>
      <c r="DI78" s="14">
        <f t="shared" si="144"/>
        <v>67.889778606382862</v>
      </c>
      <c r="DJ78" s="14">
        <f t="shared" si="145"/>
        <v>61.591443368391438</v>
      </c>
      <c r="DK78" s="14">
        <f t="shared" si="146"/>
        <v>56.141975487721197</v>
      </c>
      <c r="DL78" s="14">
        <f t="shared" si="147"/>
        <v>51.541857199469653</v>
      </c>
      <c r="DM78" s="14">
        <f t="shared" si="148"/>
        <v>47.781261966117327</v>
      </c>
      <c r="DN78" s="14">
        <f t="shared" si="149"/>
        <v>44.840901889560705</v>
      </c>
      <c r="DO78" s="14">
        <f t="shared" si="150"/>
        <v>42.692926404053964</v>
      </c>
      <c r="DP78" s="14">
        <f t="shared" si="151"/>
        <v>41.301830817369343</v>
      </c>
      <c r="DQ78" s="14">
        <f t="shared" si="152"/>
        <v>40.62534167630006</v>
      </c>
      <c r="DR78" s="14">
        <f t="shared" si="153"/>
        <v>40.615255229725832</v>
      </c>
      <c r="DS78" s="14">
        <f t="shared" si="154"/>
        <v>41.218214537675969</v>
      </c>
      <c r="DT78" s="14">
        <f t="shared" si="155"/>
        <v>42.376419233291514</v>
      </c>
      <c r="DU78" s="14">
        <f t="shared" si="156"/>
        <v>44.028268974007929</v>
      </c>
      <c r="DV78" s="14">
        <f t="shared" si="157"/>
        <v>46.108946832642758</v>
      </c>
      <c r="DW78" s="14">
        <f t="shared" si="158"/>
        <v>48.550952135818072</v>
      </c>
      <c r="DX78" s="14">
        <f t="shared" si="159"/>
        <v>51.284593647655456</v>
      </c>
      <c r="DY78" s="14">
        <f t="shared" si="160"/>
        <v>54.238453812534352</v>
      </c>
      <c r="DZ78" s="14">
        <f t="shared" si="161"/>
        <v>57.339833450487589</v>
      </c>
      <c r="EA78" s="14">
        <f t="shared" si="162"/>
        <v>60.515184361920028</v>
      </c>
    </row>
    <row r="79" spans="5:131" x14ac:dyDescent="0.25">
      <c r="E79" s="25"/>
      <c r="F79" s="6">
        <f t="shared" si="163"/>
        <v>300</v>
      </c>
      <c r="G79" s="6">
        <f t="shared" si="164"/>
        <v>279.60238189843903</v>
      </c>
      <c r="H79" s="6">
        <f t="shared" si="165"/>
        <v>259.39052202088476</v>
      </c>
      <c r="I79" s="6">
        <f t="shared" si="166"/>
        <v>239.54649894668293</v>
      </c>
      <c r="J79" s="6">
        <f t="shared" si="167"/>
        <v>220.24516848858156</v>
      </c>
      <c r="K79" s="6">
        <f t="shared" si="168"/>
        <v>201.65088514652416</v>
      </c>
      <c r="L79" s="6">
        <f t="shared" si="169"/>
        <v>183.91459994832277</v>
      </c>
      <c r="M79" s="6">
        <f t="shared" si="170"/>
        <v>167.17142380142877</v>
      </c>
      <c r="N79" s="6">
        <f t="shared" si="171"/>
        <v>151.53871817574776</v>
      </c>
      <c r="O79" s="6">
        <f t="shared" si="172"/>
        <v>137.11474516914944</v>
      </c>
      <c r="P79" s="6">
        <f t="shared" si="173"/>
        <v>123.97787905131754</v>
      </c>
      <c r="Q79" s="6">
        <f t="shared" si="174"/>
        <v>112.18635342884851</v>
      </c>
      <c r="R79" s="6">
        <f t="shared" si="175"/>
        <v>101.77849413799136</v>
      </c>
      <c r="S79" s="6">
        <f t="shared" si="176"/>
        <v>92.773369328193382</v>
      </c>
      <c r="T79" s="6">
        <f t="shared" si="177"/>
        <v>85.171775882257819</v>
      </c>
      <c r="U79" s="6">
        <f t="shared" si="178"/>
        <v>78.957475664875147</v>
      </c>
      <c r="V79" s="6">
        <f t="shared" si="179"/>
        <v>74.098595852212981</v>
      </c>
      <c r="W79" s="6">
        <f t="shared" si="180"/>
        <v>70.549114002070283</v>
      </c>
      <c r="X79" s="6">
        <f t="shared" si="181"/>
        <v>68.250359397994444</v>
      </c>
      <c r="Y79" s="6">
        <f t="shared" si="182"/>
        <v>67.132476096138433</v>
      </c>
      <c r="Z79" s="6">
        <f t="shared" si="183"/>
        <v>67.115808466880452</v>
      </c>
      <c r="AA79" s="6">
        <f t="shared" si="184"/>
        <v>68.112185350315272</v>
      </c>
      <c r="AB79" s="6">
        <f t="shared" si="185"/>
        <v>70.026092922154987</v>
      </c>
      <c r="AC79" s="6">
        <f t="shared" si="186"/>
        <v>72.755737982537312</v>
      </c>
      <c r="AD79" s="6">
        <f t="shared" si="187"/>
        <v>76.194011996859118</v>
      </c>
      <c r="AE79" s="6">
        <f t="shared" si="188"/>
        <v>80.229371599451639</v>
      </c>
      <c r="AF79" s="6">
        <f t="shared" si="189"/>
        <v>84.746653568698292</v>
      </c>
      <c r="AG79" s="6">
        <f t="shared" si="190"/>
        <v>89.627841977896395</v>
      </c>
      <c r="AH79" s="6">
        <f t="shared" si="191"/>
        <v>94.75280304453544</v>
      </c>
      <c r="AI79" s="6">
        <f t="shared" si="191"/>
        <v>100</v>
      </c>
      <c r="AK79" s="21"/>
      <c r="AL79" s="14">
        <f t="shared" si="192"/>
        <v>-1076400000</v>
      </c>
      <c r="AM79" s="14">
        <f t="shared" si="206"/>
        <v>-1003213346.2515991</v>
      </c>
      <c r="AN79" s="14">
        <f t="shared" si="207"/>
        <v>-930693193.01093447</v>
      </c>
      <c r="AO79" s="14">
        <f t="shared" si="208"/>
        <v>-859492838.22069824</v>
      </c>
      <c r="AP79" s="14">
        <f t="shared" si="209"/>
        <v>-790239664.53703046</v>
      </c>
      <c r="AQ79" s="14">
        <f t="shared" si="210"/>
        <v>-723523375.90572846</v>
      </c>
      <c r="AR79" s="14">
        <f t="shared" si="211"/>
        <v>-659885584.61458206</v>
      </c>
      <c r="AS79" s="14">
        <f t="shared" si="212"/>
        <v>-599811068.59952629</v>
      </c>
      <c r="AT79" s="14">
        <f t="shared" si="213"/>
        <v>-543720920.81458294</v>
      </c>
      <c r="AU79" s="14">
        <f t="shared" si="214"/>
        <v>-491967705.6669082</v>
      </c>
      <c r="AV79" s="14">
        <f t="shared" si="215"/>
        <v>-444832630.03612727</v>
      </c>
      <c r="AW79" s="14">
        <f t="shared" si="216"/>
        <v>-402524636.1027084</v>
      </c>
      <c r="AX79" s="14">
        <f t="shared" si="217"/>
        <v>-365181236.96711296</v>
      </c>
      <c r="AY79" s="14">
        <f t="shared" si="218"/>
        <v>-332870849.14955783</v>
      </c>
      <c r="AZ79" s="14">
        <f t="shared" si="219"/>
        <v>-305596331.86554104</v>
      </c>
      <c r="BA79" s="14">
        <f t="shared" si="220"/>
        <v>-283299422.68557197</v>
      </c>
      <c r="BB79" s="14">
        <f t="shared" si="221"/>
        <v>-265865761.91774014</v>
      </c>
      <c r="BC79" s="14">
        <f t="shared" si="222"/>
        <v>-253130221.03942817</v>
      </c>
      <c r="BD79" s="14">
        <f t="shared" si="223"/>
        <v>-244882289.520004</v>
      </c>
      <c r="BE79" s="14">
        <f t="shared" si="224"/>
        <v>-240871324.2329447</v>
      </c>
      <c r="BF79" s="14">
        <f t="shared" si="225"/>
        <v>-240811520.77916706</v>
      </c>
      <c r="BG79" s="14">
        <f t="shared" si="226"/>
        <v>-244386521.03693119</v>
      </c>
      <c r="BH79" s="14">
        <f t="shared" si="227"/>
        <v>-251253621.40469205</v>
      </c>
      <c r="BI79" s="14">
        <f t="shared" si="228"/>
        <v>-261047587.88134387</v>
      </c>
      <c r="BJ79" s="14">
        <f t="shared" si="194"/>
        <v>-273384115.04473048</v>
      </c>
      <c r="BK79" s="14">
        <f t="shared" si="195"/>
        <v>-287862985.29883248</v>
      </c>
      <c r="BL79" s="14">
        <f t="shared" si="196"/>
        <v>-304070993.00448948</v>
      </c>
      <c r="BM79" s="14">
        <f t="shared" si="197"/>
        <v>-321584697.01669228</v>
      </c>
      <c r="BN79" s="14">
        <f t="shared" si="198"/>
        <v>-339973057.32379311</v>
      </c>
      <c r="BO79" s="14">
        <f t="shared" si="199"/>
        <v>-358800000</v>
      </c>
      <c r="BQ79" s="20"/>
      <c r="BR79" s="14">
        <f t="shared" si="193"/>
        <v>0.3948481563843711</v>
      </c>
      <c r="BS79" s="14">
        <f t="shared" si="229"/>
        <v>0.3948481563843711</v>
      </c>
      <c r="BT79" s="14">
        <f t="shared" si="230"/>
        <v>0.3948481563843711</v>
      </c>
      <c r="BU79" s="14">
        <f t="shared" si="231"/>
        <v>0.3948481563843711</v>
      </c>
      <c r="BV79" s="14">
        <f t="shared" si="232"/>
        <v>0.3948481563843711</v>
      </c>
      <c r="BW79" s="14">
        <f t="shared" si="233"/>
        <v>0.3948481563843711</v>
      </c>
      <c r="BX79" s="14">
        <f t="shared" si="234"/>
        <v>0.3948481563843711</v>
      </c>
      <c r="BY79" s="14">
        <f t="shared" si="235"/>
        <v>0.3948481563843711</v>
      </c>
      <c r="BZ79" s="14">
        <f t="shared" si="236"/>
        <v>0.3948481563843711</v>
      </c>
      <c r="CA79" s="14">
        <f t="shared" si="237"/>
        <v>0.3948481563843711</v>
      </c>
      <c r="CB79" s="14">
        <f t="shared" si="238"/>
        <v>0.3948481563843711</v>
      </c>
      <c r="CC79" s="14">
        <f t="shared" si="239"/>
        <v>0.3948481563843711</v>
      </c>
      <c r="CD79" s="14">
        <f t="shared" si="240"/>
        <v>0.3948481563843711</v>
      </c>
      <c r="CE79" s="14">
        <f t="shared" si="241"/>
        <v>0.3948481563843711</v>
      </c>
      <c r="CF79" s="14">
        <f t="shared" si="242"/>
        <v>0.3948481563843711</v>
      </c>
      <c r="CG79" s="14">
        <f t="shared" si="243"/>
        <v>0.3948481563843711</v>
      </c>
      <c r="CH79" s="14">
        <f t="shared" si="244"/>
        <v>0.3948481563843711</v>
      </c>
      <c r="CI79" s="14">
        <f t="shared" si="245"/>
        <v>0.3948481563843711</v>
      </c>
      <c r="CJ79" s="14">
        <f t="shared" si="246"/>
        <v>0.3948481563843711</v>
      </c>
      <c r="CK79" s="14">
        <f t="shared" si="247"/>
        <v>0.3948481563843711</v>
      </c>
      <c r="CL79" s="14">
        <f t="shared" si="248"/>
        <v>0.3948481563843711</v>
      </c>
      <c r="CM79" s="14">
        <f t="shared" si="249"/>
        <v>0.3948481563843711</v>
      </c>
      <c r="CN79" s="14">
        <f t="shared" si="250"/>
        <v>0.3948481563843711</v>
      </c>
      <c r="CO79" s="14">
        <f t="shared" si="251"/>
        <v>0.3948481563843711</v>
      </c>
      <c r="CP79" s="14">
        <f t="shared" si="200"/>
        <v>0.3948481563843711</v>
      </c>
      <c r="CQ79" s="14">
        <f t="shared" si="201"/>
        <v>0.3948481563843711</v>
      </c>
      <c r="CR79" s="14">
        <f t="shared" si="202"/>
        <v>0.3948481563843711</v>
      </c>
      <c r="CS79" s="14">
        <f t="shared" si="203"/>
        <v>0.3948481563843711</v>
      </c>
      <c r="CT79" s="14">
        <f t="shared" si="204"/>
        <v>0.3948481563843711</v>
      </c>
      <c r="CU79" s="14">
        <f t="shared" si="205"/>
        <v>0.3948481563843711</v>
      </c>
      <c r="CW79" s="20"/>
      <c r="CX79" s="14">
        <f t="shared" si="133"/>
        <v>181.54555308468869</v>
      </c>
      <c r="CY79" s="14">
        <f t="shared" si="134"/>
        <v>169.20189688516152</v>
      </c>
      <c r="CZ79" s="14">
        <f t="shared" si="135"/>
        <v>156.97065261735881</v>
      </c>
      <c r="DA79" s="14">
        <f t="shared" si="136"/>
        <v>144.96200546925448</v>
      </c>
      <c r="DB79" s="14">
        <f t="shared" si="137"/>
        <v>133.28176975829993</v>
      </c>
      <c r="DC79" s="14">
        <f t="shared" si="138"/>
        <v>122.02940491314253</v>
      </c>
      <c r="DD79" s="14">
        <f t="shared" si="139"/>
        <v>111.29625922655838</v>
      </c>
      <c r="DE79" s="14">
        <f t="shared" si="140"/>
        <v>101.16409531328425</v>
      </c>
      <c r="DF79" s="14">
        <f t="shared" si="141"/>
        <v>91.703934683202988</v>
      </c>
      <c r="DG79" s="14">
        <f t="shared" si="142"/>
        <v>82.975240825997943</v>
      </c>
      <c r="DH79" s="14">
        <f t="shared" si="143"/>
        <v>75.025442075460276</v>
      </c>
      <c r="DI79" s="14">
        <f t="shared" si="144"/>
        <v>67.889778605982201</v>
      </c>
      <c r="DJ79" s="14">
        <f t="shared" si="145"/>
        <v>61.591443368027953</v>
      </c>
      <c r="DK79" s="14">
        <f t="shared" si="146"/>
        <v>56.141975487389864</v>
      </c>
      <c r="DL79" s="14">
        <f t="shared" si="147"/>
        <v>51.541857199165477</v>
      </c>
      <c r="DM79" s="14">
        <f t="shared" si="148"/>
        <v>47.781261965835348</v>
      </c>
      <c r="DN79" s="14">
        <f t="shared" si="149"/>
        <v>44.840901889296077</v>
      </c>
      <c r="DO79" s="14">
        <f t="shared" si="150"/>
        <v>42.692926403802019</v>
      </c>
      <c r="DP79" s="14">
        <f t="shared" si="151"/>
        <v>41.301830817125605</v>
      </c>
      <c r="DQ79" s="14">
        <f t="shared" si="152"/>
        <v>40.625341676060316</v>
      </c>
      <c r="DR79" s="14">
        <f t="shared" si="153"/>
        <v>40.615255229486145</v>
      </c>
      <c r="DS79" s="14">
        <f t="shared" si="154"/>
        <v>41.218214537432722</v>
      </c>
      <c r="DT79" s="14">
        <f t="shared" si="155"/>
        <v>42.376419233041432</v>
      </c>
      <c r="DU79" s="14">
        <f t="shared" si="156"/>
        <v>44.028268973748098</v>
      </c>
      <c r="DV79" s="14">
        <f t="shared" si="157"/>
        <v>46.108946832370641</v>
      </c>
      <c r="DW79" s="14">
        <f t="shared" si="158"/>
        <v>48.550952135531539</v>
      </c>
      <c r="DX79" s="14">
        <f t="shared" si="159"/>
        <v>51.284593647352793</v>
      </c>
      <c r="DY79" s="14">
        <f t="shared" si="160"/>
        <v>54.238453812214267</v>
      </c>
      <c r="DZ79" s="14">
        <f t="shared" si="161"/>
        <v>57.3398334501492</v>
      </c>
      <c r="EA79" s="14">
        <f t="shared" si="162"/>
        <v>60.515184361562895</v>
      </c>
    </row>
    <row r="80" spans="5:131" x14ac:dyDescent="0.25">
      <c r="E80" s="25"/>
      <c r="F80" s="6">
        <f t="shared" si="163"/>
        <v>300</v>
      </c>
      <c r="G80" s="6">
        <f t="shared" si="164"/>
        <v>279.60238189843898</v>
      </c>
      <c r="H80" s="6">
        <f t="shared" si="165"/>
        <v>259.39052202088476</v>
      </c>
      <c r="I80" s="6">
        <f t="shared" si="166"/>
        <v>239.5464989466829</v>
      </c>
      <c r="J80" s="6">
        <f t="shared" si="167"/>
        <v>220.24516848858153</v>
      </c>
      <c r="K80" s="6">
        <f t="shared" si="168"/>
        <v>201.65088514652416</v>
      </c>
      <c r="L80" s="6">
        <f t="shared" si="169"/>
        <v>183.9145999483228</v>
      </c>
      <c r="M80" s="6">
        <f t="shared" si="170"/>
        <v>167.17142380142877</v>
      </c>
      <c r="N80" s="6">
        <f t="shared" si="171"/>
        <v>151.53871817574776</v>
      </c>
      <c r="O80" s="6">
        <f t="shared" si="172"/>
        <v>137.11474516914944</v>
      </c>
      <c r="P80" s="6">
        <f t="shared" si="173"/>
        <v>123.97787905131753</v>
      </c>
      <c r="Q80" s="6">
        <f t="shared" si="174"/>
        <v>112.18635342884851</v>
      </c>
      <c r="R80" s="6">
        <f t="shared" si="175"/>
        <v>101.77849413799137</v>
      </c>
      <c r="S80" s="6">
        <f t="shared" si="176"/>
        <v>92.773369328193382</v>
      </c>
      <c r="T80" s="6">
        <f t="shared" si="177"/>
        <v>85.171775882257805</v>
      </c>
      <c r="U80" s="6">
        <f t="shared" si="178"/>
        <v>78.957475664875147</v>
      </c>
      <c r="V80" s="6">
        <f t="shared" si="179"/>
        <v>74.098595852212981</v>
      </c>
      <c r="W80" s="6">
        <f t="shared" si="180"/>
        <v>70.549114002070297</v>
      </c>
      <c r="X80" s="6">
        <f t="shared" si="181"/>
        <v>68.250359397994444</v>
      </c>
      <c r="Y80" s="6">
        <f t="shared" si="182"/>
        <v>67.132476096138447</v>
      </c>
      <c r="Z80" s="6">
        <f t="shared" si="183"/>
        <v>67.115808466880452</v>
      </c>
      <c r="AA80" s="6">
        <f t="shared" si="184"/>
        <v>68.112185350315286</v>
      </c>
      <c r="AB80" s="6">
        <f t="shared" si="185"/>
        <v>70.026092922154987</v>
      </c>
      <c r="AC80" s="6">
        <f t="shared" si="186"/>
        <v>72.755737982537312</v>
      </c>
      <c r="AD80" s="6">
        <f t="shared" si="187"/>
        <v>76.194011996859103</v>
      </c>
      <c r="AE80" s="6">
        <f t="shared" si="188"/>
        <v>80.229371599451639</v>
      </c>
      <c r="AF80" s="6">
        <f t="shared" si="189"/>
        <v>84.746653568698292</v>
      </c>
      <c r="AG80" s="6">
        <f t="shared" si="190"/>
        <v>89.627841977896395</v>
      </c>
      <c r="AH80" s="6">
        <f t="shared" si="191"/>
        <v>94.752803044535426</v>
      </c>
      <c r="AI80" s="6">
        <f t="shared" si="191"/>
        <v>100</v>
      </c>
      <c r="AK80" s="21"/>
      <c r="AL80" s="14">
        <f t="shared" si="192"/>
        <v>-1076400000</v>
      </c>
      <c r="AM80" s="14">
        <f t="shared" si="206"/>
        <v>-1003213346.2515991</v>
      </c>
      <c r="AN80" s="14">
        <f t="shared" si="207"/>
        <v>-930693193.01093447</v>
      </c>
      <c r="AO80" s="14">
        <f t="shared" si="208"/>
        <v>-859492838.22069824</v>
      </c>
      <c r="AP80" s="14">
        <f t="shared" si="209"/>
        <v>-790239664.53703046</v>
      </c>
      <c r="AQ80" s="14">
        <f t="shared" si="210"/>
        <v>-723523375.90572846</v>
      </c>
      <c r="AR80" s="14">
        <f t="shared" si="211"/>
        <v>-659885584.61458206</v>
      </c>
      <c r="AS80" s="14">
        <f t="shared" si="212"/>
        <v>-599811068.59952629</v>
      </c>
      <c r="AT80" s="14">
        <f t="shared" si="213"/>
        <v>-543720920.81458294</v>
      </c>
      <c r="AU80" s="14">
        <f t="shared" si="214"/>
        <v>-491967705.6669082</v>
      </c>
      <c r="AV80" s="14">
        <f t="shared" si="215"/>
        <v>-444832630.03612727</v>
      </c>
      <c r="AW80" s="14">
        <f t="shared" si="216"/>
        <v>-402524636.1027084</v>
      </c>
      <c r="AX80" s="14">
        <f t="shared" si="217"/>
        <v>-365181236.96711302</v>
      </c>
      <c r="AY80" s="14">
        <f t="shared" si="218"/>
        <v>-332870849.14955783</v>
      </c>
      <c r="AZ80" s="14">
        <f t="shared" si="219"/>
        <v>-305596331.86554104</v>
      </c>
      <c r="BA80" s="14">
        <f t="shared" si="220"/>
        <v>-283299422.68557197</v>
      </c>
      <c r="BB80" s="14">
        <f t="shared" si="221"/>
        <v>-265865761.91774014</v>
      </c>
      <c r="BC80" s="14">
        <f t="shared" si="222"/>
        <v>-253130221.03942817</v>
      </c>
      <c r="BD80" s="14">
        <f t="shared" si="223"/>
        <v>-244882289.520004</v>
      </c>
      <c r="BE80" s="14">
        <f t="shared" si="224"/>
        <v>-240871324.2329447</v>
      </c>
      <c r="BF80" s="14">
        <f t="shared" si="225"/>
        <v>-240811520.77916706</v>
      </c>
      <c r="BG80" s="14">
        <f t="shared" si="226"/>
        <v>-244386521.03693119</v>
      </c>
      <c r="BH80" s="14">
        <f t="shared" si="227"/>
        <v>-251253621.40469208</v>
      </c>
      <c r="BI80" s="14">
        <f t="shared" si="228"/>
        <v>-261047587.88134387</v>
      </c>
      <c r="BJ80" s="14">
        <f t="shared" si="194"/>
        <v>-273384115.04473048</v>
      </c>
      <c r="BK80" s="14">
        <f t="shared" si="195"/>
        <v>-287862985.29883248</v>
      </c>
      <c r="BL80" s="14">
        <f t="shared" si="196"/>
        <v>-304070993.00448948</v>
      </c>
      <c r="BM80" s="14">
        <f t="shared" si="197"/>
        <v>-321584697.01669228</v>
      </c>
      <c r="BN80" s="14">
        <f t="shared" si="198"/>
        <v>-339973057.32379311</v>
      </c>
      <c r="BO80" s="14">
        <f t="shared" si="199"/>
        <v>-358800000</v>
      </c>
      <c r="BQ80" s="20"/>
      <c r="BR80" s="14">
        <f t="shared" si="193"/>
        <v>0.39484815640727794</v>
      </c>
      <c r="BS80" s="14">
        <f t="shared" si="229"/>
        <v>0.39484815640727794</v>
      </c>
      <c r="BT80" s="14">
        <f t="shared" si="230"/>
        <v>0.39484815640727794</v>
      </c>
      <c r="BU80" s="14">
        <f t="shared" si="231"/>
        <v>0.39484815640727794</v>
      </c>
      <c r="BV80" s="14">
        <f t="shared" si="232"/>
        <v>0.39484815640727794</v>
      </c>
      <c r="BW80" s="14">
        <f t="shared" si="233"/>
        <v>0.39484815640727794</v>
      </c>
      <c r="BX80" s="14">
        <f t="shared" si="234"/>
        <v>0.39484815640727794</v>
      </c>
      <c r="BY80" s="14">
        <f t="shared" si="235"/>
        <v>0.39484815640727794</v>
      </c>
      <c r="BZ80" s="14">
        <f t="shared" si="236"/>
        <v>0.39484815640727794</v>
      </c>
      <c r="CA80" s="14">
        <f t="shared" si="237"/>
        <v>0.39484815640727794</v>
      </c>
      <c r="CB80" s="14">
        <f t="shared" si="238"/>
        <v>0.39484815640727794</v>
      </c>
      <c r="CC80" s="14">
        <f t="shared" si="239"/>
        <v>0.39484815640727794</v>
      </c>
      <c r="CD80" s="14">
        <f t="shared" si="240"/>
        <v>0.39484815640727794</v>
      </c>
      <c r="CE80" s="14">
        <f t="shared" si="241"/>
        <v>0.39484815640727794</v>
      </c>
      <c r="CF80" s="14">
        <f t="shared" si="242"/>
        <v>0.39484815640727794</v>
      </c>
      <c r="CG80" s="14">
        <f t="shared" si="243"/>
        <v>0.39484815640727794</v>
      </c>
      <c r="CH80" s="14">
        <f t="shared" si="244"/>
        <v>0.39484815640727794</v>
      </c>
      <c r="CI80" s="14">
        <f t="shared" si="245"/>
        <v>0.39484815640727794</v>
      </c>
      <c r="CJ80" s="14">
        <f t="shared" si="246"/>
        <v>0.39484815640727794</v>
      </c>
      <c r="CK80" s="14">
        <f t="shared" si="247"/>
        <v>0.39484815640727794</v>
      </c>
      <c r="CL80" s="14">
        <f t="shared" si="248"/>
        <v>0.39484815640727794</v>
      </c>
      <c r="CM80" s="14">
        <f t="shared" si="249"/>
        <v>0.39484815640727794</v>
      </c>
      <c r="CN80" s="14">
        <f t="shared" si="250"/>
        <v>0.39484815640727794</v>
      </c>
      <c r="CO80" s="14">
        <f t="shared" si="251"/>
        <v>0.39484815640727794</v>
      </c>
      <c r="CP80" s="14">
        <f t="shared" si="200"/>
        <v>0.39484815640727794</v>
      </c>
      <c r="CQ80" s="14">
        <f t="shared" si="201"/>
        <v>0.39484815640727794</v>
      </c>
      <c r="CR80" s="14">
        <f t="shared" si="202"/>
        <v>0.39484815640727794</v>
      </c>
      <c r="CS80" s="14">
        <f t="shared" si="203"/>
        <v>0.39484815640727794</v>
      </c>
      <c r="CT80" s="14">
        <f t="shared" si="204"/>
        <v>0.39484815640727794</v>
      </c>
      <c r="CU80" s="14">
        <f t="shared" si="205"/>
        <v>0.39484815640727794</v>
      </c>
      <c r="CW80" s="20"/>
      <c r="CX80" s="14">
        <f t="shared" si="133"/>
        <v>181.54555307781661</v>
      </c>
      <c r="CY80" s="14">
        <f t="shared" si="134"/>
        <v>169.20189687875668</v>
      </c>
      <c r="CZ80" s="14">
        <f t="shared" si="135"/>
        <v>156.97065261141697</v>
      </c>
      <c r="DA80" s="14">
        <f t="shared" si="136"/>
        <v>144.96200546376721</v>
      </c>
      <c r="DB80" s="14">
        <f t="shared" si="137"/>
        <v>133.28176975325479</v>
      </c>
      <c r="DC80" s="14">
        <f t="shared" si="138"/>
        <v>122.02940490852333</v>
      </c>
      <c r="DD80" s="14">
        <f t="shared" si="139"/>
        <v>111.29625922234548</v>
      </c>
      <c r="DE80" s="14">
        <f t="shared" si="140"/>
        <v>101.16409530945486</v>
      </c>
      <c r="DF80" s="14">
        <f t="shared" si="141"/>
        <v>91.703934679731702</v>
      </c>
      <c r="DG80" s="14">
        <f t="shared" si="142"/>
        <v>82.975240822857074</v>
      </c>
      <c r="DH80" s="14">
        <f t="shared" si="143"/>
        <v>75.025442072620322</v>
      </c>
      <c r="DI80" s="14">
        <f t="shared" si="144"/>
        <v>67.889778603412367</v>
      </c>
      <c r="DJ80" s="14">
        <f t="shared" si="145"/>
        <v>61.591443365696534</v>
      </c>
      <c r="DK80" s="14">
        <f t="shared" si="146"/>
        <v>56.141975485264723</v>
      </c>
      <c r="DL80" s="14">
        <f t="shared" si="147"/>
        <v>51.541857197214455</v>
      </c>
      <c r="DM80" s="14">
        <f t="shared" si="148"/>
        <v>47.781261964026676</v>
      </c>
      <c r="DN80" s="14">
        <f t="shared" si="149"/>
        <v>44.840901887598704</v>
      </c>
      <c r="DO80" s="14">
        <f t="shared" si="150"/>
        <v>42.692926402185961</v>
      </c>
      <c r="DP80" s="14">
        <f t="shared" si="151"/>
        <v>41.301830815562198</v>
      </c>
      <c r="DQ80" s="14">
        <f t="shared" si="152"/>
        <v>40.625341674522524</v>
      </c>
      <c r="DR80" s="14">
        <f t="shared" si="153"/>
        <v>40.61525522794873</v>
      </c>
      <c r="DS80" s="14">
        <f t="shared" si="154"/>
        <v>41.218214535872491</v>
      </c>
      <c r="DT80" s="14">
        <f t="shared" si="155"/>
        <v>42.37641923143736</v>
      </c>
      <c r="DU80" s="14">
        <f t="shared" si="156"/>
        <v>44.028268972081491</v>
      </c>
      <c r="DV80" s="14">
        <f t="shared" si="157"/>
        <v>46.108946830625271</v>
      </c>
      <c r="DW80" s="14">
        <f t="shared" si="158"/>
        <v>48.550952133693734</v>
      </c>
      <c r="DX80" s="14">
        <f t="shared" si="159"/>
        <v>51.284593645411505</v>
      </c>
      <c r="DY80" s="14">
        <f t="shared" si="160"/>
        <v>54.238453810161168</v>
      </c>
      <c r="DZ80" s="14">
        <f t="shared" si="161"/>
        <v>57.339833447978705</v>
      </c>
      <c r="EA80" s="14">
        <f t="shared" si="162"/>
        <v>60.515184359272212</v>
      </c>
    </row>
    <row r="81" spans="5:131" x14ac:dyDescent="0.25">
      <c r="E81" s="25"/>
      <c r="F81" s="6">
        <f t="shared" si="163"/>
        <v>300</v>
      </c>
      <c r="G81" s="6">
        <f t="shared" si="164"/>
        <v>279.60238189843898</v>
      </c>
      <c r="H81" s="6">
        <f t="shared" si="165"/>
        <v>259.39052202088476</v>
      </c>
      <c r="I81" s="6">
        <f t="shared" si="166"/>
        <v>239.54649894668285</v>
      </c>
      <c r="J81" s="6">
        <f t="shared" si="167"/>
        <v>220.24516848858153</v>
      </c>
      <c r="K81" s="6">
        <f t="shared" si="168"/>
        <v>201.65088514652413</v>
      </c>
      <c r="L81" s="6">
        <f t="shared" si="169"/>
        <v>183.91459994832277</v>
      </c>
      <c r="M81" s="6">
        <f t="shared" si="170"/>
        <v>167.17142380142872</v>
      </c>
      <c r="N81" s="6">
        <f t="shared" si="171"/>
        <v>151.53871817574776</v>
      </c>
      <c r="O81" s="6">
        <f t="shared" si="172"/>
        <v>137.11474516914944</v>
      </c>
      <c r="P81" s="6">
        <f t="shared" si="173"/>
        <v>123.97787905131753</v>
      </c>
      <c r="Q81" s="6">
        <f t="shared" si="174"/>
        <v>112.18635342884851</v>
      </c>
      <c r="R81" s="6">
        <f t="shared" si="175"/>
        <v>101.77849413799137</v>
      </c>
      <c r="S81" s="6">
        <f t="shared" si="176"/>
        <v>92.773369328193382</v>
      </c>
      <c r="T81" s="6">
        <f t="shared" si="177"/>
        <v>85.171775882257805</v>
      </c>
      <c r="U81" s="6">
        <f t="shared" si="178"/>
        <v>78.957475664875133</v>
      </c>
      <c r="V81" s="6">
        <f t="shared" si="179"/>
        <v>74.098595852212966</v>
      </c>
      <c r="W81" s="6">
        <f t="shared" si="180"/>
        <v>70.549114002070297</v>
      </c>
      <c r="X81" s="6">
        <f t="shared" si="181"/>
        <v>68.250359397994444</v>
      </c>
      <c r="Y81" s="6">
        <f t="shared" si="182"/>
        <v>67.132476096138447</v>
      </c>
      <c r="Z81" s="6">
        <f t="shared" si="183"/>
        <v>67.115808466880452</v>
      </c>
      <c r="AA81" s="6">
        <f t="shared" si="184"/>
        <v>68.112185350315286</v>
      </c>
      <c r="AB81" s="6">
        <f t="shared" si="185"/>
        <v>70.026092922154987</v>
      </c>
      <c r="AC81" s="6">
        <f t="shared" si="186"/>
        <v>72.755737982537312</v>
      </c>
      <c r="AD81" s="6">
        <f t="shared" si="187"/>
        <v>76.194011996859103</v>
      </c>
      <c r="AE81" s="6">
        <f t="shared" si="188"/>
        <v>80.229371599451625</v>
      </c>
      <c r="AF81" s="6">
        <f t="shared" si="189"/>
        <v>84.746653568698264</v>
      </c>
      <c r="AG81" s="6">
        <f t="shared" si="190"/>
        <v>89.627841977896395</v>
      </c>
      <c r="AH81" s="6">
        <f t="shared" ref="AH81:AI93" si="252">CT81*AH80+DZ81</f>
        <v>94.752803044535426</v>
      </c>
      <c r="AI81" s="6">
        <f t="shared" si="252"/>
        <v>100</v>
      </c>
      <c r="AK81" s="21"/>
      <c r="AL81" s="14">
        <f t="shared" si="192"/>
        <v>-1076400000</v>
      </c>
      <c r="AM81" s="14">
        <f t="shared" si="206"/>
        <v>-1003213346.2515991</v>
      </c>
      <c r="AN81" s="14">
        <f t="shared" si="207"/>
        <v>-930693193.01093447</v>
      </c>
      <c r="AO81" s="14">
        <f t="shared" si="208"/>
        <v>-859492838.220698</v>
      </c>
      <c r="AP81" s="14">
        <f t="shared" si="209"/>
        <v>-790239664.53703046</v>
      </c>
      <c r="AQ81" s="14">
        <f t="shared" si="210"/>
        <v>-723523375.90572846</v>
      </c>
      <c r="AR81" s="14">
        <f t="shared" si="211"/>
        <v>-659885584.61458206</v>
      </c>
      <c r="AS81" s="14">
        <f t="shared" si="212"/>
        <v>-599811068.59952629</v>
      </c>
      <c r="AT81" s="14">
        <f t="shared" si="213"/>
        <v>-543720920.81458294</v>
      </c>
      <c r="AU81" s="14">
        <f t="shared" si="214"/>
        <v>-491967705.6669082</v>
      </c>
      <c r="AV81" s="14">
        <f t="shared" si="215"/>
        <v>-444832630.03612727</v>
      </c>
      <c r="AW81" s="14">
        <f t="shared" si="216"/>
        <v>-402524636.1027084</v>
      </c>
      <c r="AX81" s="14">
        <f t="shared" si="217"/>
        <v>-365181236.96711296</v>
      </c>
      <c r="AY81" s="14">
        <f t="shared" si="218"/>
        <v>-332870849.14955783</v>
      </c>
      <c r="AZ81" s="14">
        <f t="shared" si="219"/>
        <v>-305596331.86554098</v>
      </c>
      <c r="BA81" s="14">
        <f t="shared" si="220"/>
        <v>-283299422.68557191</v>
      </c>
      <c r="BB81" s="14">
        <f t="shared" si="221"/>
        <v>-265865761.91774008</v>
      </c>
      <c r="BC81" s="14">
        <f t="shared" si="222"/>
        <v>-253130221.03942817</v>
      </c>
      <c r="BD81" s="14">
        <f t="shared" si="223"/>
        <v>-244882289.520004</v>
      </c>
      <c r="BE81" s="14">
        <f t="shared" si="224"/>
        <v>-240871324.2329447</v>
      </c>
      <c r="BF81" s="14">
        <f t="shared" si="225"/>
        <v>-240811520.77916706</v>
      </c>
      <c r="BG81" s="14">
        <f t="shared" si="226"/>
        <v>-244386521.03693119</v>
      </c>
      <c r="BH81" s="14">
        <f t="shared" si="227"/>
        <v>-251253621.40469208</v>
      </c>
      <c r="BI81" s="14">
        <f t="shared" si="228"/>
        <v>-261047587.88134387</v>
      </c>
      <c r="BJ81" s="14">
        <f t="shared" si="194"/>
        <v>-273384115.04473048</v>
      </c>
      <c r="BK81" s="14">
        <f t="shared" si="195"/>
        <v>-287862985.29883236</v>
      </c>
      <c r="BL81" s="14">
        <f t="shared" si="196"/>
        <v>-304070993.00448936</v>
      </c>
      <c r="BM81" s="14">
        <f t="shared" si="197"/>
        <v>-321584697.01669216</v>
      </c>
      <c r="BN81" s="14">
        <f t="shared" si="198"/>
        <v>-339973057.32379311</v>
      </c>
      <c r="BO81" s="14">
        <f t="shared" si="199"/>
        <v>-358800000</v>
      </c>
      <c r="BQ81" s="20"/>
      <c r="BR81" s="14">
        <f t="shared" si="193"/>
        <v>0.39484815655420619</v>
      </c>
      <c r="BS81" s="14">
        <f t="shared" si="229"/>
        <v>0.39484815655420619</v>
      </c>
      <c r="BT81" s="14">
        <f t="shared" si="230"/>
        <v>0.39484815655420619</v>
      </c>
      <c r="BU81" s="14">
        <f t="shared" si="231"/>
        <v>0.39484815655420619</v>
      </c>
      <c r="BV81" s="14">
        <f t="shared" si="232"/>
        <v>0.39484815655420619</v>
      </c>
      <c r="BW81" s="14">
        <f t="shared" si="233"/>
        <v>0.39484815655420619</v>
      </c>
      <c r="BX81" s="14">
        <f t="shared" si="234"/>
        <v>0.39484815655420619</v>
      </c>
      <c r="BY81" s="14">
        <f t="shared" si="235"/>
        <v>0.39484815655420619</v>
      </c>
      <c r="BZ81" s="14">
        <f t="shared" si="236"/>
        <v>0.39484815655420619</v>
      </c>
      <c r="CA81" s="14">
        <f t="shared" si="237"/>
        <v>0.39484815655420619</v>
      </c>
      <c r="CB81" s="14">
        <f t="shared" si="238"/>
        <v>0.39484815655420619</v>
      </c>
      <c r="CC81" s="14">
        <f t="shared" si="239"/>
        <v>0.39484815655420619</v>
      </c>
      <c r="CD81" s="14">
        <f t="shared" si="240"/>
        <v>0.39484815655420619</v>
      </c>
      <c r="CE81" s="14">
        <f t="shared" si="241"/>
        <v>0.39484815655420619</v>
      </c>
      <c r="CF81" s="14">
        <f t="shared" si="242"/>
        <v>0.39484815655420619</v>
      </c>
      <c r="CG81" s="14">
        <f t="shared" si="243"/>
        <v>0.39484815655420619</v>
      </c>
      <c r="CH81" s="14">
        <f t="shared" si="244"/>
        <v>0.39484815655420619</v>
      </c>
      <c r="CI81" s="14">
        <f t="shared" si="245"/>
        <v>0.39484815655420619</v>
      </c>
      <c r="CJ81" s="14">
        <f t="shared" si="246"/>
        <v>0.39484815655420619</v>
      </c>
      <c r="CK81" s="14">
        <f t="shared" si="247"/>
        <v>0.39484815655420619</v>
      </c>
      <c r="CL81" s="14">
        <f t="shared" si="248"/>
        <v>0.39484815655420619</v>
      </c>
      <c r="CM81" s="14">
        <f t="shared" si="249"/>
        <v>0.39484815655420619</v>
      </c>
      <c r="CN81" s="14">
        <f t="shared" si="250"/>
        <v>0.39484815655420619</v>
      </c>
      <c r="CO81" s="14">
        <f t="shared" si="251"/>
        <v>0.39484815655420619</v>
      </c>
      <c r="CP81" s="14">
        <f t="shared" si="200"/>
        <v>0.39484815655420619</v>
      </c>
      <c r="CQ81" s="14">
        <f t="shared" si="201"/>
        <v>0.39484815655420619</v>
      </c>
      <c r="CR81" s="14">
        <f t="shared" si="202"/>
        <v>0.39484815655420619</v>
      </c>
      <c r="CS81" s="14">
        <f t="shared" si="203"/>
        <v>0.39484815655420619</v>
      </c>
      <c r="CT81" s="14">
        <f t="shared" si="204"/>
        <v>0.39484815655420619</v>
      </c>
      <c r="CU81" s="14">
        <f t="shared" si="205"/>
        <v>0.39484815655420619</v>
      </c>
      <c r="CW81" s="20"/>
      <c r="CX81" s="14">
        <f t="shared" si="133"/>
        <v>181.54555303373814</v>
      </c>
      <c r="CY81" s="14">
        <f t="shared" si="134"/>
        <v>169.20189683767521</v>
      </c>
      <c r="CZ81" s="14">
        <f t="shared" si="135"/>
        <v>156.97065257330516</v>
      </c>
      <c r="DA81" s="14">
        <f t="shared" si="136"/>
        <v>144.96200542857102</v>
      </c>
      <c r="DB81" s="14">
        <f t="shared" si="137"/>
        <v>133.28176972089457</v>
      </c>
      <c r="DC81" s="14">
        <f t="shared" si="138"/>
        <v>122.02940487889511</v>
      </c>
      <c r="DD81" s="14">
        <f t="shared" si="139"/>
        <v>111.29625919532322</v>
      </c>
      <c r="DE81" s="14">
        <f t="shared" si="140"/>
        <v>101.16409528489264</v>
      </c>
      <c r="DF81" s="14">
        <f t="shared" si="141"/>
        <v>91.703934657466377</v>
      </c>
      <c r="DG81" s="14">
        <f t="shared" si="142"/>
        <v>82.975240802711028</v>
      </c>
      <c r="DH81" s="14">
        <f t="shared" si="143"/>
        <v>75.025442054404465</v>
      </c>
      <c r="DI81" s="14">
        <f t="shared" si="144"/>
        <v>67.889778586929026</v>
      </c>
      <c r="DJ81" s="14">
        <f t="shared" si="145"/>
        <v>61.591443350742395</v>
      </c>
      <c r="DK81" s="14">
        <f t="shared" si="146"/>
        <v>56.141975471633693</v>
      </c>
      <c r="DL81" s="14">
        <f t="shared" si="147"/>
        <v>51.541857184700305</v>
      </c>
      <c r="DM81" s="14">
        <f t="shared" si="148"/>
        <v>47.781261952425581</v>
      </c>
      <c r="DN81" s="14">
        <f t="shared" si="149"/>
        <v>44.840901876711527</v>
      </c>
      <c r="DO81" s="14">
        <f t="shared" si="150"/>
        <v>42.692926391820301</v>
      </c>
      <c r="DP81" s="14">
        <f t="shared" si="151"/>
        <v>41.301830805534294</v>
      </c>
      <c r="DQ81" s="14">
        <f t="shared" si="152"/>
        <v>40.625341664658862</v>
      </c>
      <c r="DR81" s="14">
        <f t="shared" si="153"/>
        <v>40.615255218087519</v>
      </c>
      <c r="DS81" s="14">
        <f t="shared" si="154"/>
        <v>41.21821452586488</v>
      </c>
      <c r="DT81" s="14">
        <f t="shared" si="155"/>
        <v>42.376419221148545</v>
      </c>
      <c r="DU81" s="14">
        <f t="shared" si="156"/>
        <v>44.028268961391618</v>
      </c>
      <c r="DV81" s="14">
        <f t="shared" si="157"/>
        <v>46.108946819430223</v>
      </c>
      <c r="DW81" s="14">
        <f t="shared" si="158"/>
        <v>48.550952121905759</v>
      </c>
      <c r="DX81" s="14">
        <f t="shared" si="159"/>
        <v>51.284593632959812</v>
      </c>
      <c r="DY81" s="14">
        <f t="shared" si="160"/>
        <v>54.238453796992296</v>
      </c>
      <c r="DZ81" s="14">
        <f t="shared" si="161"/>
        <v>57.339833434056843</v>
      </c>
      <c r="EA81" s="14">
        <f t="shared" si="162"/>
        <v>60.515184344579389</v>
      </c>
    </row>
    <row r="82" spans="5:131" x14ac:dyDescent="0.25">
      <c r="E82" s="25"/>
      <c r="F82" s="6">
        <f t="shared" si="163"/>
        <v>300</v>
      </c>
      <c r="G82" s="6">
        <f t="shared" si="164"/>
        <v>279.60238189843903</v>
      </c>
      <c r="H82" s="6">
        <f t="shared" si="165"/>
        <v>259.39052202088476</v>
      </c>
      <c r="I82" s="6">
        <f t="shared" si="166"/>
        <v>239.54649894668285</v>
      </c>
      <c r="J82" s="6">
        <f t="shared" si="167"/>
        <v>220.24516848858153</v>
      </c>
      <c r="K82" s="6">
        <f t="shared" si="168"/>
        <v>201.65088514652413</v>
      </c>
      <c r="L82" s="6">
        <f t="shared" si="169"/>
        <v>183.91459994832277</v>
      </c>
      <c r="M82" s="6">
        <f t="shared" si="170"/>
        <v>167.17142380142872</v>
      </c>
      <c r="N82" s="6">
        <f t="shared" si="171"/>
        <v>151.53871817574776</v>
      </c>
      <c r="O82" s="6">
        <f t="shared" si="172"/>
        <v>137.11474516914944</v>
      </c>
      <c r="P82" s="6">
        <f t="shared" si="173"/>
        <v>123.97787905131753</v>
      </c>
      <c r="Q82" s="6">
        <f t="shared" si="174"/>
        <v>112.18635342884851</v>
      </c>
      <c r="R82" s="6">
        <f t="shared" si="175"/>
        <v>101.77849413799137</v>
      </c>
      <c r="S82" s="6">
        <f t="shared" si="176"/>
        <v>92.773369328193382</v>
      </c>
      <c r="T82" s="6">
        <f t="shared" si="177"/>
        <v>85.171775882257805</v>
      </c>
      <c r="U82" s="6">
        <f t="shared" si="178"/>
        <v>78.957475664875119</v>
      </c>
      <c r="V82" s="6">
        <f t="shared" si="179"/>
        <v>74.098595852212966</v>
      </c>
      <c r="W82" s="6">
        <f t="shared" si="180"/>
        <v>70.549114002070297</v>
      </c>
      <c r="X82" s="6">
        <f t="shared" si="181"/>
        <v>68.250359397994444</v>
      </c>
      <c r="Y82" s="6">
        <f t="shared" si="182"/>
        <v>67.132476096138433</v>
      </c>
      <c r="Z82" s="6">
        <f t="shared" si="183"/>
        <v>67.115808466880452</v>
      </c>
      <c r="AA82" s="6">
        <f t="shared" si="184"/>
        <v>68.112185350315272</v>
      </c>
      <c r="AB82" s="6">
        <f t="shared" si="185"/>
        <v>70.026092922154987</v>
      </c>
      <c r="AC82" s="6">
        <f t="shared" si="186"/>
        <v>72.755737982537312</v>
      </c>
      <c r="AD82" s="6">
        <f t="shared" si="187"/>
        <v>76.194011996859103</v>
      </c>
      <c r="AE82" s="6">
        <f t="shared" si="188"/>
        <v>80.229371599451625</v>
      </c>
      <c r="AF82" s="6">
        <f t="shared" si="189"/>
        <v>84.746653568698264</v>
      </c>
      <c r="AG82" s="6">
        <f t="shared" si="190"/>
        <v>89.627841977896381</v>
      </c>
      <c r="AH82" s="6">
        <f t="shared" si="252"/>
        <v>94.752803044535426</v>
      </c>
      <c r="AI82" s="6">
        <f t="shared" si="252"/>
        <v>100</v>
      </c>
      <c r="AK82" s="21"/>
      <c r="AL82" s="14">
        <f t="shared" si="192"/>
        <v>-1076400000</v>
      </c>
      <c r="AM82" s="14">
        <f t="shared" si="206"/>
        <v>-1003213346.2515991</v>
      </c>
      <c r="AN82" s="14">
        <f t="shared" si="207"/>
        <v>-930693193.01093447</v>
      </c>
      <c r="AO82" s="14">
        <f t="shared" si="208"/>
        <v>-859492838.220698</v>
      </c>
      <c r="AP82" s="14">
        <f t="shared" si="209"/>
        <v>-790239664.53703046</v>
      </c>
      <c r="AQ82" s="14">
        <f t="shared" si="210"/>
        <v>-723523375.90572846</v>
      </c>
      <c r="AR82" s="14">
        <f t="shared" si="211"/>
        <v>-659885584.61458206</v>
      </c>
      <c r="AS82" s="14">
        <f t="shared" si="212"/>
        <v>-599811068.59952629</v>
      </c>
      <c r="AT82" s="14">
        <f t="shared" si="213"/>
        <v>-543720920.81458294</v>
      </c>
      <c r="AU82" s="14">
        <f t="shared" si="214"/>
        <v>-491967705.6669082</v>
      </c>
      <c r="AV82" s="14">
        <f t="shared" si="215"/>
        <v>-444832630.03612727</v>
      </c>
      <c r="AW82" s="14">
        <f t="shared" si="216"/>
        <v>-402524636.1027084</v>
      </c>
      <c r="AX82" s="14">
        <f t="shared" si="217"/>
        <v>-365181236.96711296</v>
      </c>
      <c r="AY82" s="14">
        <f t="shared" si="218"/>
        <v>-332870849.14955783</v>
      </c>
      <c r="AZ82" s="14">
        <f t="shared" si="219"/>
        <v>-305596331.86554098</v>
      </c>
      <c r="BA82" s="14">
        <f t="shared" si="220"/>
        <v>-283299422.68557191</v>
      </c>
      <c r="BB82" s="14">
        <f t="shared" si="221"/>
        <v>-265865761.91774008</v>
      </c>
      <c r="BC82" s="14">
        <f t="shared" si="222"/>
        <v>-253130221.03942817</v>
      </c>
      <c r="BD82" s="14">
        <f t="shared" si="223"/>
        <v>-244882289.520004</v>
      </c>
      <c r="BE82" s="14">
        <f t="shared" si="224"/>
        <v>-240871324.2329447</v>
      </c>
      <c r="BF82" s="14">
        <f t="shared" si="225"/>
        <v>-240811520.77916706</v>
      </c>
      <c r="BG82" s="14">
        <f t="shared" si="226"/>
        <v>-244386521.03693119</v>
      </c>
      <c r="BH82" s="14">
        <f t="shared" si="227"/>
        <v>-251253621.40469208</v>
      </c>
      <c r="BI82" s="14">
        <f t="shared" si="228"/>
        <v>-261047587.88134387</v>
      </c>
      <c r="BJ82" s="14">
        <f t="shared" si="194"/>
        <v>-273384115.04473048</v>
      </c>
      <c r="BK82" s="14">
        <f t="shared" si="195"/>
        <v>-287862985.29883236</v>
      </c>
      <c r="BL82" s="14">
        <f t="shared" si="196"/>
        <v>-304070993.00448936</v>
      </c>
      <c r="BM82" s="14">
        <f t="shared" si="197"/>
        <v>-321584697.01669216</v>
      </c>
      <c r="BN82" s="14">
        <f t="shared" si="198"/>
        <v>-339973057.32379311</v>
      </c>
      <c r="BO82" s="14">
        <f t="shared" si="199"/>
        <v>-358800000</v>
      </c>
      <c r="BQ82" s="20"/>
      <c r="BR82" s="14">
        <f t="shared" si="193"/>
        <v>0.39484815749662749</v>
      </c>
      <c r="BS82" s="14">
        <f t="shared" si="229"/>
        <v>0.39484815749662749</v>
      </c>
      <c r="BT82" s="14">
        <f t="shared" si="230"/>
        <v>0.39484815749662749</v>
      </c>
      <c r="BU82" s="14">
        <f t="shared" si="231"/>
        <v>0.39484815749662749</v>
      </c>
      <c r="BV82" s="14">
        <f t="shared" si="232"/>
        <v>0.39484815749662749</v>
      </c>
      <c r="BW82" s="14">
        <f t="shared" si="233"/>
        <v>0.39484815749662749</v>
      </c>
      <c r="BX82" s="14">
        <f t="shared" si="234"/>
        <v>0.39484815749662749</v>
      </c>
      <c r="BY82" s="14">
        <f t="shared" si="235"/>
        <v>0.39484815749662749</v>
      </c>
      <c r="BZ82" s="14">
        <f t="shared" si="236"/>
        <v>0.39484815749662749</v>
      </c>
      <c r="CA82" s="14">
        <f t="shared" si="237"/>
        <v>0.39484815749662749</v>
      </c>
      <c r="CB82" s="14">
        <f t="shared" si="238"/>
        <v>0.39484815749662749</v>
      </c>
      <c r="CC82" s="14">
        <f t="shared" si="239"/>
        <v>0.39484815749662749</v>
      </c>
      <c r="CD82" s="14">
        <f t="shared" si="240"/>
        <v>0.39484815749662749</v>
      </c>
      <c r="CE82" s="14">
        <f t="shared" si="241"/>
        <v>0.39484815749662749</v>
      </c>
      <c r="CF82" s="14">
        <f t="shared" si="242"/>
        <v>0.39484815749662749</v>
      </c>
      <c r="CG82" s="14">
        <f t="shared" si="243"/>
        <v>0.39484815749662749</v>
      </c>
      <c r="CH82" s="14">
        <f t="shared" si="244"/>
        <v>0.39484815749662749</v>
      </c>
      <c r="CI82" s="14">
        <f t="shared" si="245"/>
        <v>0.39484815749662749</v>
      </c>
      <c r="CJ82" s="14">
        <f t="shared" si="246"/>
        <v>0.39484815749662749</v>
      </c>
      <c r="CK82" s="14">
        <f t="shared" si="247"/>
        <v>0.39484815749662749</v>
      </c>
      <c r="CL82" s="14">
        <f t="shared" si="248"/>
        <v>0.39484815749662749</v>
      </c>
      <c r="CM82" s="14">
        <f t="shared" si="249"/>
        <v>0.39484815749662749</v>
      </c>
      <c r="CN82" s="14">
        <f t="shared" si="250"/>
        <v>0.39484815749662749</v>
      </c>
      <c r="CO82" s="14">
        <f t="shared" si="251"/>
        <v>0.39484815749662749</v>
      </c>
      <c r="CP82" s="14">
        <f t="shared" si="200"/>
        <v>0.39484815749662749</v>
      </c>
      <c r="CQ82" s="14">
        <f t="shared" si="201"/>
        <v>0.39484815749662749</v>
      </c>
      <c r="CR82" s="14">
        <f t="shared" si="202"/>
        <v>0.39484815749662749</v>
      </c>
      <c r="CS82" s="14">
        <f t="shared" si="203"/>
        <v>0.39484815749662749</v>
      </c>
      <c r="CT82" s="14">
        <f t="shared" si="204"/>
        <v>0.39484815749662749</v>
      </c>
      <c r="CU82" s="14">
        <f t="shared" si="205"/>
        <v>0.39484815749662749</v>
      </c>
      <c r="CW82" s="20"/>
      <c r="CX82" s="14">
        <f t="shared" si="133"/>
        <v>181.54555275101174</v>
      </c>
      <c r="CY82" s="14">
        <f t="shared" si="134"/>
        <v>169.201896574172</v>
      </c>
      <c r="CZ82" s="14">
        <f t="shared" si="135"/>
        <v>156.97065232885004</v>
      </c>
      <c r="DA82" s="14">
        <f t="shared" si="136"/>
        <v>144.96200520281729</v>
      </c>
      <c r="DB82" s="14">
        <f t="shared" si="137"/>
        <v>133.28176951333083</v>
      </c>
      <c r="DC82" s="14">
        <f t="shared" si="138"/>
        <v>122.02940468885502</v>
      </c>
      <c r="DD82" s="14">
        <f t="shared" si="139"/>
        <v>111.29625902199818</v>
      </c>
      <c r="DE82" s="14">
        <f t="shared" si="140"/>
        <v>101.16409512734673</v>
      </c>
      <c r="DF82" s="14">
        <f t="shared" si="141"/>
        <v>91.703934514653056</v>
      </c>
      <c r="DG82" s="14">
        <f t="shared" si="142"/>
        <v>82.975240673491186</v>
      </c>
      <c r="DH82" s="14">
        <f t="shared" si="143"/>
        <v>75.025441937565063</v>
      </c>
      <c r="DI82" s="14">
        <f t="shared" si="144"/>
        <v>67.889778481202214</v>
      </c>
      <c r="DJ82" s="14">
        <f t="shared" si="145"/>
        <v>61.591443254824171</v>
      </c>
      <c r="DK82" s="14">
        <f t="shared" si="146"/>
        <v>56.141975384202091</v>
      </c>
      <c r="DL82" s="14">
        <f t="shared" si="147"/>
        <v>51.541857104432616</v>
      </c>
      <c r="DM82" s="14">
        <f t="shared" si="148"/>
        <v>47.781261878014377</v>
      </c>
      <c r="DN82" s="14">
        <f t="shared" si="149"/>
        <v>44.84090180687943</v>
      </c>
      <c r="DO82" s="14">
        <f t="shared" si="150"/>
        <v>42.69292632533331</v>
      </c>
      <c r="DP82" s="14">
        <f t="shared" si="151"/>
        <v>41.301830741213699</v>
      </c>
      <c r="DQ82" s="14">
        <f t="shared" si="152"/>
        <v>40.625341601391781</v>
      </c>
      <c r="DR82" s="14">
        <f t="shared" si="153"/>
        <v>40.615255154836149</v>
      </c>
      <c r="DS82" s="14">
        <f t="shared" si="154"/>
        <v>41.218214461674499</v>
      </c>
      <c r="DT82" s="14">
        <f t="shared" si="155"/>
        <v>42.376419155154466</v>
      </c>
      <c r="DU82" s="14">
        <f t="shared" si="156"/>
        <v>44.028268892825061</v>
      </c>
      <c r="DV82" s="14">
        <f t="shared" si="157"/>
        <v>46.108946747623364</v>
      </c>
      <c r="DW82" s="14">
        <f t="shared" si="158"/>
        <v>48.550952046295897</v>
      </c>
      <c r="DX82" s="14">
        <f t="shared" si="159"/>
        <v>51.284593553092769</v>
      </c>
      <c r="DY82" s="14">
        <f t="shared" si="160"/>
        <v>54.238453712525107</v>
      </c>
      <c r="DZ82" s="14">
        <f t="shared" si="161"/>
        <v>57.339833344759775</v>
      </c>
      <c r="EA82" s="14">
        <f t="shared" si="162"/>
        <v>60.515184250337256</v>
      </c>
    </row>
    <row r="83" spans="5:131" x14ac:dyDescent="0.25">
      <c r="E83" s="25"/>
      <c r="F83" s="6">
        <f t="shared" si="163"/>
        <v>300</v>
      </c>
      <c r="G83" s="6">
        <f t="shared" si="164"/>
        <v>279.60238189843903</v>
      </c>
      <c r="H83" s="6">
        <f t="shared" si="165"/>
        <v>259.39052202088476</v>
      </c>
      <c r="I83" s="6">
        <f t="shared" si="166"/>
        <v>239.54649894668285</v>
      </c>
      <c r="J83" s="6">
        <f t="shared" si="167"/>
        <v>220.24516848858156</v>
      </c>
      <c r="K83" s="6">
        <f t="shared" si="168"/>
        <v>201.65088514652416</v>
      </c>
      <c r="L83" s="6">
        <f t="shared" si="169"/>
        <v>183.91459994832277</v>
      </c>
      <c r="M83" s="6">
        <f t="shared" si="170"/>
        <v>167.17142380142872</v>
      </c>
      <c r="N83" s="6">
        <f t="shared" si="171"/>
        <v>151.53871817574776</v>
      </c>
      <c r="O83" s="6">
        <f t="shared" si="172"/>
        <v>137.11474516914944</v>
      </c>
      <c r="P83" s="6">
        <f t="shared" si="173"/>
        <v>123.97787905131753</v>
      </c>
      <c r="Q83" s="6">
        <f t="shared" si="174"/>
        <v>112.18635342884852</v>
      </c>
      <c r="R83" s="6">
        <f t="shared" si="175"/>
        <v>101.77849413799137</v>
      </c>
      <c r="S83" s="6">
        <f t="shared" si="176"/>
        <v>92.773369328193382</v>
      </c>
      <c r="T83" s="6">
        <f t="shared" si="177"/>
        <v>85.171775882257805</v>
      </c>
      <c r="U83" s="6">
        <f t="shared" si="178"/>
        <v>78.957475664875133</v>
      </c>
      <c r="V83" s="6">
        <f t="shared" si="179"/>
        <v>74.098595852212981</v>
      </c>
      <c r="W83" s="6">
        <f t="shared" si="180"/>
        <v>70.549114002070297</v>
      </c>
      <c r="X83" s="6">
        <f t="shared" si="181"/>
        <v>68.250359397994444</v>
      </c>
      <c r="Y83" s="6">
        <f t="shared" si="182"/>
        <v>67.132476096138447</v>
      </c>
      <c r="Z83" s="6">
        <f t="shared" si="183"/>
        <v>67.115808466880452</v>
      </c>
      <c r="AA83" s="6">
        <f t="shared" si="184"/>
        <v>68.112185350315272</v>
      </c>
      <c r="AB83" s="6">
        <f t="shared" si="185"/>
        <v>70.026092922154987</v>
      </c>
      <c r="AC83" s="6">
        <f t="shared" si="186"/>
        <v>72.755737982537312</v>
      </c>
      <c r="AD83" s="6">
        <f t="shared" si="187"/>
        <v>76.194011996859103</v>
      </c>
      <c r="AE83" s="6">
        <f t="shared" si="188"/>
        <v>80.229371599451639</v>
      </c>
      <c r="AF83" s="6">
        <f t="shared" si="189"/>
        <v>84.746653568698292</v>
      </c>
      <c r="AG83" s="6">
        <f t="shared" si="190"/>
        <v>89.627841977896395</v>
      </c>
      <c r="AH83" s="6">
        <f t="shared" si="252"/>
        <v>94.752803044535426</v>
      </c>
      <c r="AI83" s="6">
        <f t="shared" si="252"/>
        <v>100</v>
      </c>
      <c r="AK83" s="21"/>
      <c r="AL83" s="14">
        <f t="shared" si="192"/>
        <v>-1076400000</v>
      </c>
      <c r="AM83" s="14">
        <f t="shared" si="206"/>
        <v>-1003213346.2515991</v>
      </c>
      <c r="AN83" s="14">
        <f t="shared" si="207"/>
        <v>-930693193.01093447</v>
      </c>
      <c r="AO83" s="14">
        <f t="shared" si="208"/>
        <v>-859492838.220698</v>
      </c>
      <c r="AP83" s="14">
        <f t="shared" si="209"/>
        <v>-790239664.53703046</v>
      </c>
      <c r="AQ83" s="14">
        <f t="shared" si="210"/>
        <v>-723523375.90572846</v>
      </c>
      <c r="AR83" s="14">
        <f t="shared" si="211"/>
        <v>-659885584.61458206</v>
      </c>
      <c r="AS83" s="14">
        <f t="shared" si="212"/>
        <v>-599811068.59952629</v>
      </c>
      <c r="AT83" s="14">
        <f t="shared" si="213"/>
        <v>-543720920.81458294</v>
      </c>
      <c r="AU83" s="14">
        <f t="shared" si="214"/>
        <v>-491967705.6669082</v>
      </c>
      <c r="AV83" s="14">
        <f t="shared" si="215"/>
        <v>-444832630.03612727</v>
      </c>
      <c r="AW83" s="14">
        <f t="shared" si="216"/>
        <v>-402524636.1027084</v>
      </c>
      <c r="AX83" s="14">
        <f t="shared" si="217"/>
        <v>-365181236.96711296</v>
      </c>
      <c r="AY83" s="14">
        <f t="shared" si="218"/>
        <v>-332870849.14955783</v>
      </c>
      <c r="AZ83" s="14">
        <f t="shared" si="219"/>
        <v>-305596331.86554104</v>
      </c>
      <c r="BA83" s="14">
        <f t="shared" si="220"/>
        <v>-283299422.68557203</v>
      </c>
      <c r="BB83" s="14">
        <f t="shared" si="221"/>
        <v>-265865761.91774014</v>
      </c>
      <c r="BC83" s="14">
        <f t="shared" si="222"/>
        <v>-253130221.03942823</v>
      </c>
      <c r="BD83" s="14">
        <f t="shared" si="223"/>
        <v>-244882289.520004</v>
      </c>
      <c r="BE83" s="14">
        <f t="shared" si="224"/>
        <v>-240871324.2329447</v>
      </c>
      <c r="BF83" s="14">
        <f t="shared" si="225"/>
        <v>-240811520.77916706</v>
      </c>
      <c r="BG83" s="14">
        <f t="shared" si="226"/>
        <v>-244386521.03693119</v>
      </c>
      <c r="BH83" s="14">
        <f t="shared" si="227"/>
        <v>-251253621.40469208</v>
      </c>
      <c r="BI83" s="14">
        <f t="shared" si="228"/>
        <v>-261047587.88134387</v>
      </c>
      <c r="BJ83" s="14">
        <f t="shared" si="194"/>
        <v>-273384115.04473048</v>
      </c>
      <c r="BK83" s="14">
        <f t="shared" si="195"/>
        <v>-287862985.29883248</v>
      </c>
      <c r="BL83" s="14">
        <f t="shared" si="196"/>
        <v>-304070993.00448948</v>
      </c>
      <c r="BM83" s="14">
        <f t="shared" si="197"/>
        <v>-321584697.01669228</v>
      </c>
      <c r="BN83" s="14">
        <f t="shared" si="198"/>
        <v>-339973057.32379311</v>
      </c>
      <c r="BO83" s="14">
        <f t="shared" si="199"/>
        <v>-358800000</v>
      </c>
      <c r="BQ83" s="20"/>
      <c r="BR83" s="14">
        <f t="shared" si="193"/>
        <v>0.39484816354146846</v>
      </c>
      <c r="BS83" s="14">
        <f t="shared" si="229"/>
        <v>0.39484816354146846</v>
      </c>
      <c r="BT83" s="14">
        <f t="shared" si="230"/>
        <v>0.39484816354146846</v>
      </c>
      <c r="BU83" s="14">
        <f t="shared" si="231"/>
        <v>0.39484816354146846</v>
      </c>
      <c r="BV83" s="14">
        <f t="shared" si="232"/>
        <v>0.39484816354146846</v>
      </c>
      <c r="BW83" s="14">
        <f t="shared" si="233"/>
        <v>0.39484816354146846</v>
      </c>
      <c r="BX83" s="14">
        <f t="shared" si="234"/>
        <v>0.39484816354146846</v>
      </c>
      <c r="BY83" s="14">
        <f t="shared" si="235"/>
        <v>0.39484816354146846</v>
      </c>
      <c r="BZ83" s="14">
        <f t="shared" si="236"/>
        <v>0.39484816354146846</v>
      </c>
      <c r="CA83" s="14">
        <f t="shared" si="237"/>
        <v>0.39484816354146846</v>
      </c>
      <c r="CB83" s="14">
        <f t="shared" si="238"/>
        <v>0.39484816354146846</v>
      </c>
      <c r="CC83" s="14">
        <f t="shared" si="239"/>
        <v>0.39484816354146846</v>
      </c>
      <c r="CD83" s="14">
        <f t="shared" si="240"/>
        <v>0.39484816354146846</v>
      </c>
      <c r="CE83" s="14">
        <f t="shared" si="241"/>
        <v>0.39484816354146846</v>
      </c>
      <c r="CF83" s="14">
        <f t="shared" si="242"/>
        <v>0.39484816354146846</v>
      </c>
      <c r="CG83" s="14">
        <f t="shared" si="243"/>
        <v>0.39484816354146846</v>
      </c>
      <c r="CH83" s="14">
        <f t="shared" si="244"/>
        <v>0.39484816354146846</v>
      </c>
      <c r="CI83" s="14">
        <f t="shared" si="245"/>
        <v>0.39484816354146846</v>
      </c>
      <c r="CJ83" s="14">
        <f t="shared" si="246"/>
        <v>0.39484816354146846</v>
      </c>
      <c r="CK83" s="14">
        <f t="shared" si="247"/>
        <v>0.39484816354146846</v>
      </c>
      <c r="CL83" s="14">
        <f t="shared" si="248"/>
        <v>0.39484816354146846</v>
      </c>
      <c r="CM83" s="14">
        <f t="shared" si="249"/>
        <v>0.39484816354146846</v>
      </c>
      <c r="CN83" s="14">
        <f t="shared" si="250"/>
        <v>0.39484816354146846</v>
      </c>
      <c r="CO83" s="14">
        <f t="shared" si="251"/>
        <v>0.39484816354146846</v>
      </c>
      <c r="CP83" s="14">
        <f t="shared" si="200"/>
        <v>0.39484816354146846</v>
      </c>
      <c r="CQ83" s="14">
        <f t="shared" si="201"/>
        <v>0.39484816354146846</v>
      </c>
      <c r="CR83" s="14">
        <f t="shared" si="202"/>
        <v>0.39484816354146846</v>
      </c>
      <c r="CS83" s="14">
        <f t="shared" si="203"/>
        <v>0.39484816354146846</v>
      </c>
      <c r="CT83" s="14">
        <f t="shared" si="204"/>
        <v>0.39484816354146846</v>
      </c>
      <c r="CU83" s="14">
        <f t="shared" si="205"/>
        <v>0.39484816354146846</v>
      </c>
      <c r="CW83" s="20"/>
      <c r="CX83" s="14">
        <f t="shared" si="133"/>
        <v>181.54555093755948</v>
      </c>
      <c r="CY83" s="14">
        <f t="shared" si="134"/>
        <v>169.20189488402008</v>
      </c>
      <c r="CZ83" s="14">
        <f t="shared" si="135"/>
        <v>156.9706507608756</v>
      </c>
      <c r="DA83" s="14">
        <f t="shared" si="136"/>
        <v>144.96200375479683</v>
      </c>
      <c r="DB83" s="14">
        <f t="shared" si="137"/>
        <v>133.28176818198384</v>
      </c>
      <c r="DC83" s="14">
        <f t="shared" si="138"/>
        <v>122.02940346990751</v>
      </c>
      <c r="DD83" s="14">
        <f t="shared" si="139"/>
        <v>111.29625791026368</v>
      </c>
      <c r="DE83" s="14">
        <f t="shared" si="140"/>
        <v>101.16409411682207</v>
      </c>
      <c r="DF83" s="14">
        <f t="shared" si="141"/>
        <v>91.703933598625611</v>
      </c>
      <c r="DG83" s="14">
        <f t="shared" si="142"/>
        <v>82.975239844654354</v>
      </c>
      <c r="DH83" s="14">
        <f t="shared" si="143"/>
        <v>75.025441188138515</v>
      </c>
      <c r="DI83" s="14">
        <f t="shared" si="144"/>
        <v>67.889777803053562</v>
      </c>
      <c r="DJ83" s="14">
        <f t="shared" si="145"/>
        <v>61.59144263958936</v>
      </c>
      <c r="DK83" s="14">
        <f t="shared" si="146"/>
        <v>56.141974823401831</v>
      </c>
      <c r="DL83" s="14">
        <f t="shared" si="147"/>
        <v>51.541856589582785</v>
      </c>
      <c r="DM83" s="14">
        <f t="shared" si="148"/>
        <v>47.781261400729008</v>
      </c>
      <c r="DN83" s="14">
        <f t="shared" si="149"/>
        <v>44.840901358965212</v>
      </c>
      <c r="DO83" s="14">
        <f t="shared" si="150"/>
        <v>42.692925898875146</v>
      </c>
      <c r="DP83" s="14">
        <f t="shared" si="151"/>
        <v>41.301830328651135</v>
      </c>
      <c r="DQ83" s="14">
        <f t="shared" si="152"/>
        <v>40.62534119558665</v>
      </c>
      <c r="DR83" s="14">
        <f t="shared" si="153"/>
        <v>40.615254749131772</v>
      </c>
      <c r="DS83" s="14">
        <f t="shared" si="154"/>
        <v>41.218214049947179</v>
      </c>
      <c r="DT83" s="14">
        <f t="shared" si="155"/>
        <v>42.376418731857875</v>
      </c>
      <c r="DU83" s="14">
        <f t="shared" si="156"/>
        <v>44.028268453028197</v>
      </c>
      <c r="DV83" s="14">
        <f t="shared" si="157"/>
        <v>46.108946287042677</v>
      </c>
      <c r="DW83" s="14">
        <f t="shared" si="158"/>
        <v>48.550951561322123</v>
      </c>
      <c r="DX83" s="14">
        <f t="shared" si="159"/>
        <v>51.284593040812744</v>
      </c>
      <c r="DY83" s="14">
        <f t="shared" si="160"/>
        <v>54.238453170739078</v>
      </c>
      <c r="DZ83" s="14">
        <f t="shared" si="161"/>
        <v>57.339832771994161</v>
      </c>
      <c r="EA83" s="14">
        <f t="shared" si="162"/>
        <v>60.515183645853163</v>
      </c>
    </row>
    <row r="84" spans="5:131" x14ac:dyDescent="0.25">
      <c r="E84" s="25"/>
      <c r="F84" s="6">
        <f t="shared" si="163"/>
        <v>300.00000000000006</v>
      </c>
      <c r="G84" s="6">
        <f t="shared" si="164"/>
        <v>279.60238189843903</v>
      </c>
      <c r="H84" s="6">
        <f t="shared" si="165"/>
        <v>259.39052202088476</v>
      </c>
      <c r="I84" s="6">
        <f t="shared" si="166"/>
        <v>239.54649894668287</v>
      </c>
      <c r="J84" s="6">
        <f t="shared" si="167"/>
        <v>220.24516848858156</v>
      </c>
      <c r="K84" s="6">
        <f t="shared" si="168"/>
        <v>201.65088514652413</v>
      </c>
      <c r="L84" s="6">
        <f t="shared" si="169"/>
        <v>183.91459994832275</v>
      </c>
      <c r="M84" s="6">
        <f t="shared" si="170"/>
        <v>167.17142380142872</v>
      </c>
      <c r="N84" s="6">
        <f t="shared" si="171"/>
        <v>151.53871817574776</v>
      </c>
      <c r="O84" s="6">
        <f t="shared" si="172"/>
        <v>137.11474516914944</v>
      </c>
      <c r="P84" s="6">
        <f t="shared" si="173"/>
        <v>123.97787905131753</v>
      </c>
      <c r="Q84" s="6">
        <f t="shared" si="174"/>
        <v>112.18635342884851</v>
      </c>
      <c r="R84" s="6">
        <f t="shared" si="175"/>
        <v>101.77849413799137</v>
      </c>
      <c r="S84" s="6">
        <f t="shared" si="176"/>
        <v>92.773369328193382</v>
      </c>
      <c r="T84" s="6">
        <f t="shared" si="177"/>
        <v>85.171775882257805</v>
      </c>
      <c r="U84" s="6">
        <f t="shared" si="178"/>
        <v>78.957475664875133</v>
      </c>
      <c r="V84" s="6">
        <f t="shared" si="179"/>
        <v>74.098595852212966</v>
      </c>
      <c r="W84" s="6">
        <f t="shared" si="180"/>
        <v>70.549114002070297</v>
      </c>
      <c r="X84" s="6">
        <f t="shared" si="181"/>
        <v>68.250359397994444</v>
      </c>
      <c r="Y84" s="6">
        <f t="shared" si="182"/>
        <v>67.132476096138447</v>
      </c>
      <c r="Z84" s="6">
        <f t="shared" si="183"/>
        <v>67.115808466880452</v>
      </c>
      <c r="AA84" s="6">
        <f t="shared" si="184"/>
        <v>68.112185350315272</v>
      </c>
      <c r="AB84" s="6">
        <f t="shared" si="185"/>
        <v>70.026092922154987</v>
      </c>
      <c r="AC84" s="6">
        <f t="shared" si="186"/>
        <v>72.755737982537312</v>
      </c>
      <c r="AD84" s="6">
        <f t="shared" si="187"/>
        <v>76.194011996859103</v>
      </c>
      <c r="AE84" s="6">
        <f t="shared" si="188"/>
        <v>80.229371599451639</v>
      </c>
      <c r="AF84" s="6">
        <f t="shared" si="189"/>
        <v>84.746653568698292</v>
      </c>
      <c r="AG84" s="6">
        <f t="shared" si="190"/>
        <v>89.627841977896395</v>
      </c>
      <c r="AH84" s="6">
        <f t="shared" si="252"/>
        <v>94.75280304453544</v>
      </c>
      <c r="AI84" s="6">
        <f t="shared" si="252"/>
        <v>100</v>
      </c>
      <c r="AK84" s="21"/>
      <c r="AL84" s="14">
        <f t="shared" si="192"/>
        <v>-1076400000</v>
      </c>
      <c r="AM84" s="14">
        <f t="shared" si="206"/>
        <v>-1003213346.2515991</v>
      </c>
      <c r="AN84" s="14">
        <f t="shared" si="207"/>
        <v>-930693193.01093447</v>
      </c>
      <c r="AO84" s="14">
        <f t="shared" si="208"/>
        <v>-859492838.220698</v>
      </c>
      <c r="AP84" s="14">
        <f t="shared" si="209"/>
        <v>-790239664.53703046</v>
      </c>
      <c r="AQ84" s="14">
        <f t="shared" si="210"/>
        <v>-723523375.90572846</v>
      </c>
      <c r="AR84" s="14">
        <f t="shared" si="211"/>
        <v>-659885584.61458206</v>
      </c>
      <c r="AS84" s="14">
        <f t="shared" si="212"/>
        <v>-599811068.59952629</v>
      </c>
      <c r="AT84" s="14">
        <f t="shared" si="213"/>
        <v>-543720920.81458294</v>
      </c>
      <c r="AU84" s="14">
        <f t="shared" si="214"/>
        <v>-491967705.6669082</v>
      </c>
      <c r="AV84" s="14">
        <f t="shared" si="215"/>
        <v>-444832630.03612727</v>
      </c>
      <c r="AW84" s="14">
        <f t="shared" si="216"/>
        <v>-402524636.1027084</v>
      </c>
      <c r="AX84" s="14">
        <f t="shared" si="217"/>
        <v>-365181236.96711296</v>
      </c>
      <c r="AY84" s="14">
        <f t="shared" si="218"/>
        <v>-332870849.14955783</v>
      </c>
      <c r="AZ84" s="14">
        <f t="shared" si="219"/>
        <v>-305596331.86554098</v>
      </c>
      <c r="BA84" s="14">
        <f t="shared" si="220"/>
        <v>-283299422.68557197</v>
      </c>
      <c r="BB84" s="14">
        <f t="shared" si="221"/>
        <v>-265865761.91774008</v>
      </c>
      <c r="BC84" s="14">
        <f t="shared" si="222"/>
        <v>-253130221.03942817</v>
      </c>
      <c r="BD84" s="14">
        <f t="shared" si="223"/>
        <v>-244882289.520004</v>
      </c>
      <c r="BE84" s="14">
        <f t="shared" si="224"/>
        <v>-240871324.2329447</v>
      </c>
      <c r="BF84" s="14">
        <f t="shared" si="225"/>
        <v>-240811520.77916706</v>
      </c>
      <c r="BG84" s="14">
        <f t="shared" si="226"/>
        <v>-244386521.03693116</v>
      </c>
      <c r="BH84" s="14">
        <f t="shared" si="227"/>
        <v>-251253621.40469205</v>
      </c>
      <c r="BI84" s="14">
        <f t="shared" si="228"/>
        <v>-261047587.88134387</v>
      </c>
      <c r="BJ84" s="14">
        <f t="shared" si="194"/>
        <v>-273384115.04473048</v>
      </c>
      <c r="BK84" s="14">
        <f t="shared" si="195"/>
        <v>-287862985.29883248</v>
      </c>
      <c r="BL84" s="14">
        <f t="shared" si="196"/>
        <v>-304070993.00448948</v>
      </c>
      <c r="BM84" s="14">
        <f t="shared" si="197"/>
        <v>-321584697.01669228</v>
      </c>
      <c r="BN84" s="14">
        <f t="shared" si="198"/>
        <v>-339973057.32379311</v>
      </c>
      <c r="BO84" s="14">
        <f t="shared" si="199"/>
        <v>-358800000</v>
      </c>
      <c r="BQ84" s="20"/>
      <c r="BR84" s="14">
        <f t="shared" si="193"/>
        <v>0.39484820231404288</v>
      </c>
      <c r="BS84" s="14">
        <f t="shared" si="229"/>
        <v>0.39484820231404288</v>
      </c>
      <c r="BT84" s="14">
        <f t="shared" si="230"/>
        <v>0.39484820231404288</v>
      </c>
      <c r="BU84" s="14">
        <f t="shared" si="231"/>
        <v>0.39484820231404288</v>
      </c>
      <c r="BV84" s="14">
        <f t="shared" si="232"/>
        <v>0.39484820231404288</v>
      </c>
      <c r="BW84" s="14">
        <f t="shared" si="233"/>
        <v>0.39484820231404288</v>
      </c>
      <c r="BX84" s="14">
        <f t="shared" si="234"/>
        <v>0.39484820231404288</v>
      </c>
      <c r="BY84" s="14">
        <f t="shared" si="235"/>
        <v>0.39484820231404288</v>
      </c>
      <c r="BZ84" s="14">
        <f t="shared" si="236"/>
        <v>0.39484820231404288</v>
      </c>
      <c r="CA84" s="14">
        <f t="shared" si="237"/>
        <v>0.39484820231404288</v>
      </c>
      <c r="CB84" s="14">
        <f t="shared" si="238"/>
        <v>0.39484820231404288</v>
      </c>
      <c r="CC84" s="14">
        <f t="shared" si="239"/>
        <v>0.39484820231404288</v>
      </c>
      <c r="CD84" s="14">
        <f t="shared" si="240"/>
        <v>0.39484820231404288</v>
      </c>
      <c r="CE84" s="14">
        <f t="shared" si="241"/>
        <v>0.39484820231404288</v>
      </c>
      <c r="CF84" s="14">
        <f t="shared" si="242"/>
        <v>0.39484820231404288</v>
      </c>
      <c r="CG84" s="14">
        <f t="shared" si="243"/>
        <v>0.39484820231404288</v>
      </c>
      <c r="CH84" s="14">
        <f t="shared" si="244"/>
        <v>0.39484820231404288</v>
      </c>
      <c r="CI84" s="14">
        <f t="shared" si="245"/>
        <v>0.39484820231404288</v>
      </c>
      <c r="CJ84" s="14">
        <f t="shared" si="246"/>
        <v>0.39484820231404288</v>
      </c>
      <c r="CK84" s="14">
        <f t="shared" si="247"/>
        <v>0.39484820231404288</v>
      </c>
      <c r="CL84" s="14">
        <f t="shared" si="248"/>
        <v>0.39484820231404288</v>
      </c>
      <c r="CM84" s="14">
        <f t="shared" si="249"/>
        <v>0.39484820231404288</v>
      </c>
      <c r="CN84" s="14">
        <f t="shared" si="250"/>
        <v>0.39484820231404288</v>
      </c>
      <c r="CO84" s="14">
        <f t="shared" si="251"/>
        <v>0.39484820231404288</v>
      </c>
      <c r="CP84" s="14">
        <f t="shared" si="200"/>
        <v>0.39484820231404288</v>
      </c>
      <c r="CQ84" s="14">
        <f t="shared" si="201"/>
        <v>0.39484820231404288</v>
      </c>
      <c r="CR84" s="14">
        <f t="shared" si="202"/>
        <v>0.39484820231404288</v>
      </c>
      <c r="CS84" s="14">
        <f t="shared" si="203"/>
        <v>0.39484820231404288</v>
      </c>
      <c r="CT84" s="14">
        <f t="shared" si="204"/>
        <v>0.39484820231404288</v>
      </c>
      <c r="CU84" s="14">
        <f t="shared" si="205"/>
        <v>0.39484820231404288</v>
      </c>
      <c r="CW84" s="20"/>
      <c r="CX84" s="14">
        <f t="shared" si="133"/>
        <v>181.54553930578717</v>
      </c>
      <c r="CY84" s="14">
        <f t="shared" si="134"/>
        <v>169.20188404311591</v>
      </c>
      <c r="CZ84" s="14">
        <f t="shared" si="135"/>
        <v>156.97064070363726</v>
      </c>
      <c r="DA84" s="14">
        <f t="shared" si="136"/>
        <v>144.96199446696238</v>
      </c>
      <c r="DB84" s="14">
        <f t="shared" si="137"/>
        <v>133.28175964251164</v>
      </c>
      <c r="DC84" s="14">
        <f t="shared" si="138"/>
        <v>122.02939565138354</v>
      </c>
      <c r="DD84" s="14">
        <f t="shared" si="139"/>
        <v>111.29625077942114</v>
      </c>
      <c r="DE84" s="14">
        <f t="shared" si="140"/>
        <v>101.16408763515558</v>
      </c>
      <c r="DF84" s="14">
        <f t="shared" si="141"/>
        <v>91.703927723079374</v>
      </c>
      <c r="DG84" s="14">
        <f t="shared" si="142"/>
        <v>82.975234528362677</v>
      </c>
      <c r="DH84" s="14">
        <f t="shared" si="143"/>
        <v>75.025436381196968</v>
      </c>
      <c r="DI84" s="14">
        <f t="shared" si="144"/>
        <v>67.88977345329981</v>
      </c>
      <c r="DJ84" s="14">
        <f t="shared" si="145"/>
        <v>61.591438693375125</v>
      </c>
      <c r="DK84" s="14">
        <f t="shared" si="146"/>
        <v>56.141971226339457</v>
      </c>
      <c r="DL84" s="14">
        <f t="shared" si="147"/>
        <v>51.541853287253758</v>
      </c>
      <c r="DM84" s="14">
        <f t="shared" si="148"/>
        <v>47.781258339344397</v>
      </c>
      <c r="DN84" s="14">
        <f t="shared" si="149"/>
        <v>44.840898485971877</v>
      </c>
      <c r="DO84" s="14">
        <f t="shared" si="150"/>
        <v>42.692923163504361</v>
      </c>
      <c r="DP84" s="14">
        <f t="shared" si="151"/>
        <v>41.301827682408991</v>
      </c>
      <c r="DQ84" s="14">
        <f t="shared" si="152"/>
        <v>40.625338592687719</v>
      </c>
      <c r="DR84" s="14">
        <f t="shared" si="153"/>
        <v>40.615252146879094</v>
      </c>
      <c r="DS84" s="14">
        <f t="shared" si="154"/>
        <v>41.218211409062398</v>
      </c>
      <c r="DT84" s="14">
        <f t="shared" si="155"/>
        <v>42.376416016765965</v>
      </c>
      <c r="DU84" s="14">
        <f t="shared" si="156"/>
        <v>44.028265632100933</v>
      </c>
      <c r="DV84" s="14">
        <f t="shared" si="157"/>
        <v>46.108943332804671</v>
      </c>
      <c r="DW84" s="14">
        <f t="shared" si="158"/>
        <v>48.550948450622833</v>
      </c>
      <c r="DX84" s="14">
        <f t="shared" si="159"/>
        <v>51.284589754966802</v>
      </c>
      <c r="DY84" s="14">
        <f t="shared" si="160"/>
        <v>54.238449695636902</v>
      </c>
      <c r="DZ84" s="14">
        <f t="shared" si="161"/>
        <v>57.339829098184055</v>
      </c>
      <c r="EA84" s="14">
        <f t="shared" si="162"/>
        <v>60.515179768595715</v>
      </c>
    </row>
    <row r="85" spans="5:131" x14ac:dyDescent="0.25">
      <c r="E85" s="25"/>
      <c r="F85" s="6">
        <f t="shared" si="163"/>
        <v>300</v>
      </c>
      <c r="G85" s="6">
        <f t="shared" si="164"/>
        <v>279.60238189843903</v>
      </c>
      <c r="H85" s="6">
        <f t="shared" si="165"/>
        <v>259.39052202088476</v>
      </c>
      <c r="I85" s="6">
        <f t="shared" si="166"/>
        <v>239.54649894668285</v>
      </c>
      <c r="J85" s="6">
        <f t="shared" si="167"/>
        <v>220.24516848858156</v>
      </c>
      <c r="K85" s="6">
        <f t="shared" si="168"/>
        <v>201.6508851465241</v>
      </c>
      <c r="L85" s="6">
        <f t="shared" si="169"/>
        <v>183.91459994832269</v>
      </c>
      <c r="M85" s="6">
        <f t="shared" si="170"/>
        <v>167.17142380142866</v>
      </c>
      <c r="N85" s="6">
        <f t="shared" si="171"/>
        <v>151.5387181757477</v>
      </c>
      <c r="O85" s="6">
        <f t="shared" si="172"/>
        <v>137.11474516914939</v>
      </c>
      <c r="P85" s="6">
        <f t="shared" si="173"/>
        <v>123.9778790513175</v>
      </c>
      <c r="Q85" s="6">
        <f t="shared" si="174"/>
        <v>112.18635342884849</v>
      </c>
      <c r="R85" s="6">
        <f t="shared" si="175"/>
        <v>101.77849413799134</v>
      </c>
      <c r="S85" s="6">
        <f t="shared" si="176"/>
        <v>92.773369328193354</v>
      </c>
      <c r="T85" s="6">
        <f t="shared" si="177"/>
        <v>85.171775882257805</v>
      </c>
      <c r="U85" s="6">
        <f t="shared" si="178"/>
        <v>78.957475664875119</v>
      </c>
      <c r="V85" s="6">
        <f t="shared" si="179"/>
        <v>74.098595852212952</v>
      </c>
      <c r="W85" s="6">
        <f t="shared" si="180"/>
        <v>70.549114002070269</v>
      </c>
      <c r="X85" s="6">
        <f t="shared" si="181"/>
        <v>68.25035939799443</v>
      </c>
      <c r="Y85" s="6">
        <f t="shared" si="182"/>
        <v>67.132476096138419</v>
      </c>
      <c r="Z85" s="6">
        <f t="shared" si="183"/>
        <v>67.115808466880438</v>
      </c>
      <c r="AA85" s="6">
        <f t="shared" si="184"/>
        <v>68.112185350315258</v>
      </c>
      <c r="AB85" s="6">
        <f t="shared" si="185"/>
        <v>70.026092922154973</v>
      </c>
      <c r="AC85" s="6">
        <f t="shared" si="186"/>
        <v>72.755737982537312</v>
      </c>
      <c r="AD85" s="6">
        <f t="shared" si="187"/>
        <v>76.194011996859089</v>
      </c>
      <c r="AE85" s="6">
        <f t="shared" si="188"/>
        <v>80.229371599451611</v>
      </c>
      <c r="AF85" s="6">
        <f t="shared" si="189"/>
        <v>84.746653568698264</v>
      </c>
      <c r="AG85" s="6">
        <f t="shared" si="190"/>
        <v>89.627841977896367</v>
      </c>
      <c r="AH85" s="6">
        <f t="shared" si="252"/>
        <v>94.752803044535426</v>
      </c>
      <c r="AI85" s="6">
        <f t="shared" si="252"/>
        <v>100</v>
      </c>
      <c r="AK85" s="21"/>
      <c r="AL85" s="14">
        <f t="shared" si="192"/>
        <v>-1076400000</v>
      </c>
      <c r="AM85" s="14">
        <f t="shared" si="206"/>
        <v>-1003213346.2515991</v>
      </c>
      <c r="AN85" s="14">
        <f t="shared" si="207"/>
        <v>-930693193.01093447</v>
      </c>
      <c r="AO85" s="14">
        <f t="shared" si="208"/>
        <v>-859492838.220698</v>
      </c>
      <c r="AP85" s="14">
        <f t="shared" si="209"/>
        <v>-790239664.53703046</v>
      </c>
      <c r="AQ85" s="14">
        <f t="shared" si="210"/>
        <v>-723523375.90572846</v>
      </c>
      <c r="AR85" s="14">
        <f t="shared" si="211"/>
        <v>-659885584.6145817</v>
      </c>
      <c r="AS85" s="14">
        <f t="shared" si="212"/>
        <v>-599811068.59952593</v>
      </c>
      <c r="AT85" s="14">
        <f t="shared" si="213"/>
        <v>-543720920.81458271</v>
      </c>
      <c r="AU85" s="14">
        <f t="shared" si="214"/>
        <v>-491967705.66690803</v>
      </c>
      <c r="AV85" s="14">
        <f t="shared" si="215"/>
        <v>-444832630.03612721</v>
      </c>
      <c r="AW85" s="14">
        <f t="shared" si="216"/>
        <v>-402524636.1027084</v>
      </c>
      <c r="AX85" s="14">
        <f t="shared" si="217"/>
        <v>-365181236.96711296</v>
      </c>
      <c r="AY85" s="14">
        <f t="shared" si="218"/>
        <v>-332870849.14955777</v>
      </c>
      <c r="AZ85" s="14">
        <f t="shared" si="219"/>
        <v>-305596331.86554098</v>
      </c>
      <c r="BA85" s="14">
        <f t="shared" si="220"/>
        <v>-283299422.68557191</v>
      </c>
      <c r="BB85" s="14">
        <f t="shared" si="221"/>
        <v>-265865761.91774008</v>
      </c>
      <c r="BC85" s="14">
        <f t="shared" si="222"/>
        <v>-253130221.03942811</v>
      </c>
      <c r="BD85" s="14">
        <f t="shared" si="223"/>
        <v>-244882289.52000397</v>
      </c>
      <c r="BE85" s="14">
        <f t="shared" si="224"/>
        <v>-240871324.23294464</v>
      </c>
      <c r="BF85" s="14">
        <f t="shared" si="225"/>
        <v>-240811520.779167</v>
      </c>
      <c r="BG85" s="14">
        <f t="shared" si="226"/>
        <v>-244386521.03693116</v>
      </c>
      <c r="BH85" s="14">
        <f t="shared" si="227"/>
        <v>-251253621.40469205</v>
      </c>
      <c r="BI85" s="14">
        <f t="shared" si="228"/>
        <v>-261047587.88134387</v>
      </c>
      <c r="BJ85" s="14">
        <f t="shared" si="194"/>
        <v>-273384115.04473042</v>
      </c>
      <c r="BK85" s="14">
        <f t="shared" si="195"/>
        <v>-287862985.29883236</v>
      </c>
      <c r="BL85" s="14">
        <f t="shared" si="196"/>
        <v>-304070993.0044893</v>
      </c>
      <c r="BM85" s="14">
        <f t="shared" si="197"/>
        <v>-321584697.01669216</v>
      </c>
      <c r="BN85" s="14">
        <f t="shared" si="198"/>
        <v>-339973057.32379311</v>
      </c>
      <c r="BO85" s="14">
        <f t="shared" si="199"/>
        <v>-358800000</v>
      </c>
      <c r="BQ85" s="20"/>
      <c r="BR85" s="14">
        <f t="shared" si="193"/>
        <v>0.39484845100749483</v>
      </c>
      <c r="BS85" s="14">
        <f t="shared" si="229"/>
        <v>0.39484845100749483</v>
      </c>
      <c r="BT85" s="14">
        <f t="shared" si="230"/>
        <v>0.39484845100749483</v>
      </c>
      <c r="BU85" s="14">
        <f t="shared" si="231"/>
        <v>0.39484845100749483</v>
      </c>
      <c r="BV85" s="14">
        <f t="shared" si="232"/>
        <v>0.39484845100749483</v>
      </c>
      <c r="BW85" s="14">
        <f t="shared" si="233"/>
        <v>0.39484845100749483</v>
      </c>
      <c r="BX85" s="14">
        <f t="shared" si="234"/>
        <v>0.39484845100749483</v>
      </c>
      <c r="BY85" s="14">
        <f t="shared" si="235"/>
        <v>0.39484845100749483</v>
      </c>
      <c r="BZ85" s="14">
        <f t="shared" si="236"/>
        <v>0.39484845100749483</v>
      </c>
      <c r="CA85" s="14">
        <f t="shared" si="237"/>
        <v>0.39484845100749483</v>
      </c>
      <c r="CB85" s="14">
        <f t="shared" si="238"/>
        <v>0.39484845100749483</v>
      </c>
      <c r="CC85" s="14">
        <f t="shared" si="239"/>
        <v>0.39484845100749483</v>
      </c>
      <c r="CD85" s="14">
        <f t="shared" si="240"/>
        <v>0.39484845100749483</v>
      </c>
      <c r="CE85" s="14">
        <f t="shared" si="241"/>
        <v>0.39484845100749483</v>
      </c>
      <c r="CF85" s="14">
        <f t="shared" si="242"/>
        <v>0.39484845100749483</v>
      </c>
      <c r="CG85" s="14">
        <f t="shared" si="243"/>
        <v>0.39484845100749483</v>
      </c>
      <c r="CH85" s="14">
        <f t="shared" si="244"/>
        <v>0.39484845100749483</v>
      </c>
      <c r="CI85" s="14">
        <f t="shared" si="245"/>
        <v>0.39484845100749483</v>
      </c>
      <c r="CJ85" s="14">
        <f t="shared" si="246"/>
        <v>0.39484845100749483</v>
      </c>
      <c r="CK85" s="14">
        <f t="shared" si="247"/>
        <v>0.39484845100749483</v>
      </c>
      <c r="CL85" s="14">
        <f t="shared" si="248"/>
        <v>0.39484845100749483</v>
      </c>
      <c r="CM85" s="14">
        <f t="shared" si="249"/>
        <v>0.39484845100749483</v>
      </c>
      <c r="CN85" s="14">
        <f t="shared" si="250"/>
        <v>0.39484845100749483</v>
      </c>
      <c r="CO85" s="14">
        <f t="shared" si="251"/>
        <v>0.39484845100749483</v>
      </c>
      <c r="CP85" s="14">
        <f t="shared" si="200"/>
        <v>0.39484845100749483</v>
      </c>
      <c r="CQ85" s="14">
        <f t="shared" si="201"/>
        <v>0.39484845100749483</v>
      </c>
      <c r="CR85" s="14">
        <f t="shared" si="202"/>
        <v>0.39484845100749483</v>
      </c>
      <c r="CS85" s="14">
        <f t="shared" si="203"/>
        <v>0.39484845100749483</v>
      </c>
      <c r="CT85" s="14">
        <f t="shared" si="204"/>
        <v>0.39484845100749483</v>
      </c>
      <c r="CU85" s="14">
        <f t="shared" si="205"/>
        <v>0.39484845100749483</v>
      </c>
      <c r="CW85" s="20"/>
      <c r="CX85" s="14">
        <f t="shared" si="133"/>
        <v>181.54546469775156</v>
      </c>
      <c r="CY85" s="14">
        <f t="shared" si="134"/>
        <v>169.20181450783434</v>
      </c>
      <c r="CZ85" s="14">
        <f t="shared" si="135"/>
        <v>156.97057619491292</v>
      </c>
      <c r="DA85" s="14">
        <f t="shared" si="136"/>
        <v>144.96193489331662</v>
      </c>
      <c r="DB85" s="14">
        <f t="shared" si="137"/>
        <v>133.2817048689804</v>
      </c>
      <c r="DC85" s="14">
        <f t="shared" si="138"/>
        <v>122.02934550212881</v>
      </c>
      <c r="DD85" s="14">
        <f t="shared" si="139"/>
        <v>111.29620504106437</v>
      </c>
      <c r="DE85" s="14">
        <f t="shared" si="140"/>
        <v>101.16404606071708</v>
      </c>
      <c r="DF85" s="14">
        <f t="shared" si="141"/>
        <v>91.703890036392409</v>
      </c>
      <c r="DG85" s="14">
        <f t="shared" si="142"/>
        <v>82.975200428823342</v>
      </c>
      <c r="DH85" s="14">
        <f t="shared" si="143"/>
        <v>75.025405548710239</v>
      </c>
      <c r="DI85" s="14">
        <f t="shared" si="144"/>
        <v>67.889745553288293</v>
      </c>
      <c r="DJ85" s="14">
        <f t="shared" si="145"/>
        <v>61.591413381730057</v>
      </c>
      <c r="DK85" s="14">
        <f t="shared" si="146"/>
        <v>56.14194815420997</v>
      </c>
      <c r="DL85" s="14">
        <f t="shared" si="147"/>
        <v>51.5418321055908</v>
      </c>
      <c r="DM85" s="14">
        <f t="shared" si="148"/>
        <v>47.781238703137205</v>
      </c>
      <c r="DN85" s="14">
        <f t="shared" si="149"/>
        <v>44.840880058136278</v>
      </c>
      <c r="DO85" s="14">
        <f t="shared" si="150"/>
        <v>42.692905618401653</v>
      </c>
      <c r="DP85" s="14">
        <f t="shared" si="151"/>
        <v>41.301810708991503</v>
      </c>
      <c r="DQ85" s="14">
        <f t="shared" si="152"/>
        <v>40.625321897280486</v>
      </c>
      <c r="DR85" s="14">
        <f t="shared" si="153"/>
        <v>40.61523545561699</v>
      </c>
      <c r="DS85" s="14">
        <f t="shared" si="154"/>
        <v>41.218194470007887</v>
      </c>
      <c r="DT85" s="14">
        <f t="shared" si="155"/>
        <v>42.376398601735183</v>
      </c>
      <c r="DU85" s="14">
        <f t="shared" si="156"/>
        <v>44.028247538225294</v>
      </c>
      <c r="DV85" s="14">
        <f t="shared" si="157"/>
        <v>46.108924383852795</v>
      </c>
      <c r="DW85" s="14">
        <f t="shared" si="158"/>
        <v>48.550928498103438</v>
      </c>
      <c r="DX85" s="14">
        <f t="shared" si="159"/>
        <v>51.284568679028951</v>
      </c>
      <c r="DY85" s="14">
        <f t="shared" si="160"/>
        <v>54.238427405779461</v>
      </c>
      <c r="DZ85" s="14">
        <f t="shared" si="161"/>
        <v>57.339805533782375</v>
      </c>
      <c r="EA85" s="14">
        <f t="shared" si="162"/>
        <v>60.515154899250518</v>
      </c>
    </row>
    <row r="86" spans="5:131" x14ac:dyDescent="0.25">
      <c r="E86" s="25"/>
      <c r="F86" s="6">
        <f t="shared" si="163"/>
        <v>300</v>
      </c>
      <c r="G86" s="6">
        <f t="shared" si="164"/>
        <v>279.60238189843898</v>
      </c>
      <c r="H86" s="6">
        <f t="shared" si="165"/>
        <v>259.39052202088476</v>
      </c>
      <c r="I86" s="6">
        <f t="shared" si="166"/>
        <v>239.54649894668285</v>
      </c>
      <c r="J86" s="6">
        <f t="shared" si="167"/>
        <v>220.24516848858153</v>
      </c>
      <c r="K86" s="6">
        <f t="shared" si="168"/>
        <v>201.65088514652408</v>
      </c>
      <c r="L86" s="6">
        <f t="shared" si="169"/>
        <v>183.91459994832263</v>
      </c>
      <c r="M86" s="6">
        <f t="shared" si="170"/>
        <v>167.1714238014286</v>
      </c>
      <c r="N86" s="6">
        <f t="shared" si="171"/>
        <v>151.53871817574768</v>
      </c>
      <c r="O86" s="6">
        <f t="shared" si="172"/>
        <v>137.11474516914933</v>
      </c>
      <c r="P86" s="6">
        <f t="shared" si="173"/>
        <v>123.97787905131747</v>
      </c>
      <c r="Q86" s="6">
        <f t="shared" si="174"/>
        <v>112.18635342884846</v>
      </c>
      <c r="R86" s="6">
        <f t="shared" si="175"/>
        <v>101.77849413799132</v>
      </c>
      <c r="S86" s="6">
        <f t="shared" si="176"/>
        <v>92.773369328193326</v>
      </c>
      <c r="T86" s="6">
        <f t="shared" si="177"/>
        <v>85.171775882257791</v>
      </c>
      <c r="U86" s="6">
        <f t="shared" si="178"/>
        <v>78.957475664875105</v>
      </c>
      <c r="V86" s="6">
        <f t="shared" si="179"/>
        <v>74.098595852212924</v>
      </c>
      <c r="W86" s="6">
        <f t="shared" si="180"/>
        <v>70.549114002070255</v>
      </c>
      <c r="X86" s="6">
        <f t="shared" si="181"/>
        <v>68.250359397994401</v>
      </c>
      <c r="Y86" s="6">
        <f t="shared" si="182"/>
        <v>67.132476096138404</v>
      </c>
      <c r="Z86" s="6">
        <f t="shared" si="183"/>
        <v>67.115808466880424</v>
      </c>
      <c r="AA86" s="6">
        <f t="shared" si="184"/>
        <v>68.112185350315229</v>
      </c>
      <c r="AB86" s="6">
        <f t="shared" si="185"/>
        <v>70.026092922154959</v>
      </c>
      <c r="AC86" s="6">
        <f t="shared" si="186"/>
        <v>72.755737982537298</v>
      </c>
      <c r="AD86" s="6">
        <f t="shared" si="187"/>
        <v>76.194011996859075</v>
      </c>
      <c r="AE86" s="6">
        <f t="shared" si="188"/>
        <v>80.229371599451596</v>
      </c>
      <c r="AF86" s="6">
        <f t="shared" si="189"/>
        <v>84.746653568698235</v>
      </c>
      <c r="AG86" s="6">
        <f t="shared" si="190"/>
        <v>89.627841977896352</v>
      </c>
      <c r="AH86" s="6">
        <f t="shared" si="252"/>
        <v>94.752803044535426</v>
      </c>
      <c r="AI86" s="6">
        <f t="shared" si="252"/>
        <v>100</v>
      </c>
      <c r="AK86" s="21"/>
      <c r="AL86" s="14">
        <f t="shared" si="192"/>
        <v>-1076400000</v>
      </c>
      <c r="AM86" s="14">
        <f t="shared" si="206"/>
        <v>-1003213346.2515991</v>
      </c>
      <c r="AN86" s="14">
        <f t="shared" si="207"/>
        <v>-930693193.01093447</v>
      </c>
      <c r="AO86" s="14">
        <f t="shared" si="208"/>
        <v>-859492838.220698</v>
      </c>
      <c r="AP86" s="14">
        <f t="shared" si="209"/>
        <v>-790239664.53703046</v>
      </c>
      <c r="AQ86" s="14">
        <f t="shared" si="210"/>
        <v>-723523375.90572834</v>
      </c>
      <c r="AR86" s="14">
        <f t="shared" si="211"/>
        <v>-659885584.61458158</v>
      </c>
      <c r="AS86" s="14">
        <f t="shared" si="212"/>
        <v>-599811068.59952581</v>
      </c>
      <c r="AT86" s="14">
        <f t="shared" si="213"/>
        <v>-543720920.81458259</v>
      </c>
      <c r="AU86" s="14">
        <f t="shared" si="214"/>
        <v>-491967705.66690779</v>
      </c>
      <c r="AV86" s="14">
        <f t="shared" si="215"/>
        <v>-444832630.03612703</v>
      </c>
      <c r="AW86" s="14">
        <f t="shared" si="216"/>
        <v>-402524636.10270816</v>
      </c>
      <c r="AX86" s="14">
        <f t="shared" si="217"/>
        <v>-365181236.96711278</v>
      </c>
      <c r="AY86" s="14">
        <f t="shared" si="218"/>
        <v>-332870849.14955771</v>
      </c>
      <c r="AZ86" s="14">
        <f t="shared" si="219"/>
        <v>-305596331.86554092</v>
      </c>
      <c r="BA86" s="14">
        <f t="shared" si="220"/>
        <v>-283299422.68557185</v>
      </c>
      <c r="BB86" s="14">
        <f t="shared" si="221"/>
        <v>-265865761.91773996</v>
      </c>
      <c r="BC86" s="14">
        <f t="shared" si="222"/>
        <v>-253130221.03942809</v>
      </c>
      <c r="BD86" s="14">
        <f t="shared" si="223"/>
        <v>-244882289.52000391</v>
      </c>
      <c r="BE86" s="14">
        <f t="shared" si="224"/>
        <v>-240871324.23294461</v>
      </c>
      <c r="BF86" s="14">
        <f t="shared" si="225"/>
        <v>-240811520.77916691</v>
      </c>
      <c r="BG86" s="14">
        <f t="shared" si="226"/>
        <v>-244386521.03693104</v>
      </c>
      <c r="BH86" s="14">
        <f t="shared" si="227"/>
        <v>-251253621.40469193</v>
      </c>
      <c r="BI86" s="14">
        <f t="shared" si="228"/>
        <v>-261047587.88134378</v>
      </c>
      <c r="BJ86" s="14">
        <f t="shared" si="194"/>
        <v>-273384115.04473031</v>
      </c>
      <c r="BK86" s="14">
        <f t="shared" si="195"/>
        <v>-287862985.2988323</v>
      </c>
      <c r="BL86" s="14">
        <f t="shared" si="196"/>
        <v>-304070993.00448924</v>
      </c>
      <c r="BM86" s="14">
        <f t="shared" si="197"/>
        <v>-321584697.01669216</v>
      </c>
      <c r="BN86" s="14">
        <f t="shared" si="198"/>
        <v>-339973057.32379311</v>
      </c>
      <c r="BO86" s="14">
        <f t="shared" si="199"/>
        <v>-358800000</v>
      </c>
      <c r="BQ86" s="20"/>
      <c r="BR86" s="14">
        <f t="shared" si="193"/>
        <v>0.39485004616564395</v>
      </c>
      <c r="BS86" s="14">
        <f t="shared" si="229"/>
        <v>0.39485004616564395</v>
      </c>
      <c r="BT86" s="14">
        <f t="shared" si="230"/>
        <v>0.39485004616564395</v>
      </c>
      <c r="BU86" s="14">
        <f t="shared" si="231"/>
        <v>0.39485004616564395</v>
      </c>
      <c r="BV86" s="14">
        <f t="shared" si="232"/>
        <v>0.39485004616564395</v>
      </c>
      <c r="BW86" s="14">
        <f t="shared" si="233"/>
        <v>0.39485004616564395</v>
      </c>
      <c r="BX86" s="14">
        <f t="shared" si="234"/>
        <v>0.39485004616564395</v>
      </c>
      <c r="BY86" s="14">
        <f t="shared" si="235"/>
        <v>0.39485004616564395</v>
      </c>
      <c r="BZ86" s="14">
        <f t="shared" si="236"/>
        <v>0.39485004616564395</v>
      </c>
      <c r="CA86" s="14">
        <f t="shared" si="237"/>
        <v>0.39485004616564395</v>
      </c>
      <c r="CB86" s="14">
        <f t="shared" si="238"/>
        <v>0.39485004616564395</v>
      </c>
      <c r="CC86" s="14">
        <f t="shared" si="239"/>
        <v>0.39485004616564395</v>
      </c>
      <c r="CD86" s="14">
        <f t="shared" si="240"/>
        <v>0.39485004616564395</v>
      </c>
      <c r="CE86" s="14">
        <f t="shared" si="241"/>
        <v>0.39485004616564395</v>
      </c>
      <c r="CF86" s="14">
        <f t="shared" si="242"/>
        <v>0.39485004616564395</v>
      </c>
      <c r="CG86" s="14">
        <f t="shared" si="243"/>
        <v>0.39485004616564395</v>
      </c>
      <c r="CH86" s="14">
        <f t="shared" si="244"/>
        <v>0.39485004616564395</v>
      </c>
      <c r="CI86" s="14">
        <f t="shared" si="245"/>
        <v>0.39485004616564395</v>
      </c>
      <c r="CJ86" s="14">
        <f t="shared" si="246"/>
        <v>0.39485004616564395</v>
      </c>
      <c r="CK86" s="14">
        <f t="shared" si="247"/>
        <v>0.39485004616564395</v>
      </c>
      <c r="CL86" s="14">
        <f t="shared" si="248"/>
        <v>0.39485004616564395</v>
      </c>
      <c r="CM86" s="14">
        <f t="shared" si="249"/>
        <v>0.39485004616564395</v>
      </c>
      <c r="CN86" s="14">
        <f t="shared" si="250"/>
        <v>0.39485004616564395</v>
      </c>
      <c r="CO86" s="14">
        <f t="shared" si="251"/>
        <v>0.39485004616564395</v>
      </c>
      <c r="CP86" s="14">
        <f t="shared" si="200"/>
        <v>0.39485004616564395</v>
      </c>
      <c r="CQ86" s="14">
        <f t="shared" si="201"/>
        <v>0.39485004616564395</v>
      </c>
      <c r="CR86" s="14">
        <f t="shared" si="202"/>
        <v>0.39485004616564395</v>
      </c>
      <c r="CS86" s="14">
        <f t="shared" si="203"/>
        <v>0.39485004616564395</v>
      </c>
      <c r="CT86" s="14">
        <f t="shared" si="204"/>
        <v>0.39485004616564395</v>
      </c>
      <c r="CU86" s="14">
        <f t="shared" si="205"/>
        <v>0.39485004616564395</v>
      </c>
      <c r="CW86" s="20"/>
      <c r="CX86" s="14">
        <f t="shared" si="133"/>
        <v>181.54498615030681</v>
      </c>
      <c r="CY86" s="14">
        <f t="shared" si="134"/>
        <v>169.2013684978163</v>
      </c>
      <c r="CZ86" s="14">
        <f t="shared" si="135"/>
        <v>156.9701624260079</v>
      </c>
      <c r="DA86" s="14">
        <f t="shared" si="136"/>
        <v>144.96155277876673</v>
      </c>
      <c r="DB86" s="14">
        <f t="shared" si="137"/>
        <v>133.28135354310507</v>
      </c>
      <c r="DC86" s="14">
        <f t="shared" si="138"/>
        <v>122.02902383707607</v>
      </c>
      <c r="DD86" s="14">
        <f t="shared" si="139"/>
        <v>111.29591166819148</v>
      </c>
      <c r="DE86" s="14">
        <f t="shared" si="140"/>
        <v>101.16377939585809</v>
      </c>
      <c r="DF86" s="14">
        <f t="shared" si="141"/>
        <v>91.703648308171182</v>
      </c>
      <c r="DG86" s="14">
        <f t="shared" si="142"/>
        <v>82.9749817091202</v>
      </c>
      <c r="DH86" s="14">
        <f t="shared" si="143"/>
        <v>75.025207784386126</v>
      </c>
      <c r="DI86" s="14">
        <f t="shared" si="144"/>
        <v>67.889566598312385</v>
      </c>
      <c r="DJ86" s="14">
        <f t="shared" si="145"/>
        <v>61.591251028935702</v>
      </c>
      <c r="DK86" s="14">
        <f t="shared" si="146"/>
        <v>56.141800166013851</v>
      </c>
      <c r="DL86" s="14">
        <f t="shared" si="147"/>
        <v>51.541696243138418</v>
      </c>
      <c r="DM86" s="14">
        <f t="shared" si="148"/>
        <v>47.781112753476457</v>
      </c>
      <c r="DN86" s="14">
        <f t="shared" si="149"/>
        <v>44.840761859157254</v>
      </c>
      <c r="DO86" s="14">
        <f t="shared" si="150"/>
        <v>42.69279308140753</v>
      </c>
      <c r="DP86" s="14">
        <f t="shared" si="151"/>
        <v>41.301701838874514</v>
      </c>
      <c r="DQ86" s="14">
        <f t="shared" si="152"/>
        <v>40.625214810364163</v>
      </c>
      <c r="DR86" s="14">
        <f t="shared" si="153"/>
        <v>40.615128395288167</v>
      </c>
      <c r="DS86" s="14">
        <f t="shared" si="154"/>
        <v>41.21808582030036</v>
      </c>
      <c r="DT86" s="14">
        <f t="shared" si="155"/>
        <v>42.376286899042391</v>
      </c>
      <c r="DU86" s="14">
        <f t="shared" si="156"/>
        <v>44.02813148131694</v>
      </c>
      <c r="DV86" s="14">
        <f t="shared" si="157"/>
        <v>46.108802842353626</v>
      </c>
      <c r="DW86" s="14">
        <f t="shared" si="158"/>
        <v>48.550800519567524</v>
      </c>
      <c r="DX86" s="14">
        <f t="shared" si="159"/>
        <v>51.284433494713895</v>
      </c>
      <c r="DY86" s="14">
        <f t="shared" si="160"/>
        <v>54.238284435196931</v>
      </c>
      <c r="DZ86" s="14">
        <f t="shared" si="161"/>
        <v>57.339654388076447</v>
      </c>
      <c r="EA86" s="14">
        <f t="shared" si="162"/>
        <v>60.514995383435604</v>
      </c>
    </row>
    <row r="87" spans="5:131" x14ac:dyDescent="0.25">
      <c r="E87" s="25"/>
      <c r="F87" s="6">
        <f t="shared" si="163"/>
        <v>300</v>
      </c>
      <c r="G87" s="6">
        <f t="shared" si="164"/>
        <v>279.60238189843892</v>
      </c>
      <c r="H87" s="6">
        <f t="shared" si="165"/>
        <v>259.39052202088476</v>
      </c>
      <c r="I87" s="6">
        <f t="shared" si="166"/>
        <v>239.54649894668285</v>
      </c>
      <c r="J87" s="6">
        <f t="shared" si="167"/>
        <v>220.2451684885815</v>
      </c>
      <c r="K87" s="6">
        <f t="shared" si="168"/>
        <v>201.65088514652405</v>
      </c>
      <c r="L87" s="6">
        <f t="shared" si="169"/>
        <v>183.9145999483226</v>
      </c>
      <c r="M87" s="6">
        <f t="shared" si="170"/>
        <v>167.1714238014286</v>
      </c>
      <c r="N87" s="6">
        <f t="shared" si="171"/>
        <v>151.53871817574765</v>
      </c>
      <c r="O87" s="6">
        <f t="shared" si="172"/>
        <v>137.11474516914933</v>
      </c>
      <c r="P87" s="6">
        <f t="shared" si="173"/>
        <v>123.97787905131744</v>
      </c>
      <c r="Q87" s="6">
        <f t="shared" si="174"/>
        <v>112.18635342884843</v>
      </c>
      <c r="R87" s="6">
        <f t="shared" si="175"/>
        <v>101.77849413799129</v>
      </c>
      <c r="S87" s="6">
        <f t="shared" si="176"/>
        <v>92.773369328193326</v>
      </c>
      <c r="T87" s="6">
        <f t="shared" si="177"/>
        <v>85.171775882257776</v>
      </c>
      <c r="U87" s="6">
        <f t="shared" si="178"/>
        <v>78.957475664875091</v>
      </c>
      <c r="V87" s="6">
        <f t="shared" si="179"/>
        <v>74.098595852212924</v>
      </c>
      <c r="W87" s="6">
        <f t="shared" si="180"/>
        <v>70.549114002070255</v>
      </c>
      <c r="X87" s="6">
        <f t="shared" si="181"/>
        <v>68.250359397994401</v>
      </c>
      <c r="Y87" s="6">
        <f t="shared" si="182"/>
        <v>67.13247609613839</v>
      </c>
      <c r="Z87" s="6">
        <f t="shared" si="183"/>
        <v>67.115808466880409</v>
      </c>
      <c r="AA87" s="6">
        <f t="shared" si="184"/>
        <v>68.112185350315215</v>
      </c>
      <c r="AB87" s="6">
        <f t="shared" si="185"/>
        <v>70.026092922154945</v>
      </c>
      <c r="AC87" s="6">
        <f t="shared" si="186"/>
        <v>72.755737982537283</v>
      </c>
      <c r="AD87" s="6">
        <f t="shared" si="187"/>
        <v>76.194011996859075</v>
      </c>
      <c r="AE87" s="6">
        <f t="shared" si="188"/>
        <v>80.229371599451596</v>
      </c>
      <c r="AF87" s="6">
        <f t="shared" si="189"/>
        <v>84.746653568698221</v>
      </c>
      <c r="AG87" s="6">
        <f t="shared" si="190"/>
        <v>89.627841977896338</v>
      </c>
      <c r="AH87" s="6">
        <f t="shared" si="252"/>
        <v>94.752803044535426</v>
      </c>
      <c r="AI87" s="6">
        <f t="shared" si="252"/>
        <v>100</v>
      </c>
      <c r="AK87" s="21"/>
      <c r="AL87" s="14">
        <f t="shared" si="192"/>
        <v>-1076400000</v>
      </c>
      <c r="AM87" s="14">
        <f t="shared" si="206"/>
        <v>-1003213346.2515988</v>
      </c>
      <c r="AN87" s="14">
        <f t="shared" si="207"/>
        <v>-930693193.01093447</v>
      </c>
      <c r="AO87" s="14">
        <f t="shared" si="208"/>
        <v>-859492838.220698</v>
      </c>
      <c r="AP87" s="14">
        <f t="shared" si="209"/>
        <v>-790239664.53703046</v>
      </c>
      <c r="AQ87" s="14">
        <f t="shared" si="210"/>
        <v>-723523375.90572834</v>
      </c>
      <c r="AR87" s="14">
        <f t="shared" si="211"/>
        <v>-659885584.61458158</v>
      </c>
      <c r="AS87" s="14">
        <f t="shared" si="212"/>
        <v>-599811068.59952581</v>
      </c>
      <c r="AT87" s="14">
        <f t="shared" si="213"/>
        <v>-543720920.81458259</v>
      </c>
      <c r="AU87" s="14">
        <f t="shared" si="214"/>
        <v>-491967705.66690779</v>
      </c>
      <c r="AV87" s="14">
        <f t="shared" si="215"/>
        <v>-444832630.03612703</v>
      </c>
      <c r="AW87" s="14">
        <f t="shared" si="216"/>
        <v>-402524636.10270816</v>
      </c>
      <c r="AX87" s="14">
        <f t="shared" si="217"/>
        <v>-365181236.96711272</v>
      </c>
      <c r="AY87" s="14">
        <f t="shared" si="218"/>
        <v>-332870849.14955765</v>
      </c>
      <c r="AZ87" s="14">
        <f t="shared" si="219"/>
        <v>-305596331.86554092</v>
      </c>
      <c r="BA87" s="14">
        <f t="shared" si="220"/>
        <v>-283299422.68557185</v>
      </c>
      <c r="BB87" s="14">
        <f t="shared" si="221"/>
        <v>-265865761.91773993</v>
      </c>
      <c r="BC87" s="14">
        <f t="shared" si="222"/>
        <v>-253130221.03942803</v>
      </c>
      <c r="BD87" s="14">
        <f t="shared" si="223"/>
        <v>-244882289.52000386</v>
      </c>
      <c r="BE87" s="14">
        <f t="shared" si="224"/>
        <v>-240871324.23294455</v>
      </c>
      <c r="BF87" s="14">
        <f t="shared" si="225"/>
        <v>-240811520.77916691</v>
      </c>
      <c r="BG87" s="14">
        <f t="shared" si="226"/>
        <v>-244386521.03693104</v>
      </c>
      <c r="BH87" s="14">
        <f t="shared" si="227"/>
        <v>-251253621.40469193</v>
      </c>
      <c r="BI87" s="14">
        <f t="shared" si="228"/>
        <v>-261047587.88134378</v>
      </c>
      <c r="BJ87" s="14">
        <f t="shared" si="194"/>
        <v>-273384115.04473031</v>
      </c>
      <c r="BK87" s="14">
        <f t="shared" si="195"/>
        <v>-287862985.2988323</v>
      </c>
      <c r="BL87" s="14">
        <f t="shared" si="196"/>
        <v>-304070993.00448924</v>
      </c>
      <c r="BM87" s="14">
        <f t="shared" si="197"/>
        <v>-321584697.0166921</v>
      </c>
      <c r="BN87" s="14">
        <f t="shared" si="198"/>
        <v>-339973057.32379311</v>
      </c>
      <c r="BO87" s="14">
        <f t="shared" si="199"/>
        <v>-358800000</v>
      </c>
      <c r="BQ87" s="20"/>
      <c r="BR87" s="14">
        <f t="shared" si="193"/>
        <v>0.39486027770820464</v>
      </c>
      <c r="BS87" s="14">
        <f t="shared" si="229"/>
        <v>0.39486027770820464</v>
      </c>
      <c r="BT87" s="14">
        <f t="shared" si="230"/>
        <v>0.39486027770820464</v>
      </c>
      <c r="BU87" s="14">
        <f t="shared" si="231"/>
        <v>0.39486027770820464</v>
      </c>
      <c r="BV87" s="14">
        <f t="shared" si="232"/>
        <v>0.39486027770820464</v>
      </c>
      <c r="BW87" s="14">
        <f t="shared" si="233"/>
        <v>0.39486027770820464</v>
      </c>
      <c r="BX87" s="14">
        <f t="shared" si="234"/>
        <v>0.39486027770820464</v>
      </c>
      <c r="BY87" s="14">
        <f t="shared" si="235"/>
        <v>0.39486027770820464</v>
      </c>
      <c r="BZ87" s="14">
        <f t="shared" si="236"/>
        <v>0.39486027770820464</v>
      </c>
      <c r="CA87" s="14">
        <f t="shared" si="237"/>
        <v>0.39486027770820464</v>
      </c>
      <c r="CB87" s="14">
        <f t="shared" si="238"/>
        <v>0.39486027770820464</v>
      </c>
      <c r="CC87" s="14">
        <f t="shared" si="239"/>
        <v>0.39486027770820464</v>
      </c>
      <c r="CD87" s="14">
        <f t="shared" si="240"/>
        <v>0.39486027770820464</v>
      </c>
      <c r="CE87" s="14">
        <f t="shared" si="241"/>
        <v>0.39486027770820464</v>
      </c>
      <c r="CF87" s="14">
        <f t="shared" si="242"/>
        <v>0.39486027770820464</v>
      </c>
      <c r="CG87" s="14">
        <f t="shared" si="243"/>
        <v>0.39486027770820464</v>
      </c>
      <c r="CH87" s="14">
        <f t="shared" si="244"/>
        <v>0.39486027770820464</v>
      </c>
      <c r="CI87" s="14">
        <f t="shared" si="245"/>
        <v>0.39486027770820464</v>
      </c>
      <c r="CJ87" s="14">
        <f t="shared" si="246"/>
        <v>0.39486027770820464</v>
      </c>
      <c r="CK87" s="14">
        <f t="shared" si="247"/>
        <v>0.39486027770820464</v>
      </c>
      <c r="CL87" s="14">
        <f t="shared" si="248"/>
        <v>0.39486027770820464</v>
      </c>
      <c r="CM87" s="14">
        <f t="shared" si="249"/>
        <v>0.39486027770820464</v>
      </c>
      <c r="CN87" s="14">
        <f t="shared" si="250"/>
        <v>0.39486027770820464</v>
      </c>
      <c r="CO87" s="14">
        <f t="shared" si="251"/>
        <v>0.39486027770820464</v>
      </c>
      <c r="CP87" s="14">
        <f t="shared" si="200"/>
        <v>0.39486027770820464</v>
      </c>
      <c r="CQ87" s="14">
        <f t="shared" si="201"/>
        <v>0.39486027770820464</v>
      </c>
      <c r="CR87" s="14">
        <f t="shared" si="202"/>
        <v>0.39486027770820464</v>
      </c>
      <c r="CS87" s="14">
        <f t="shared" si="203"/>
        <v>0.39486027770820464</v>
      </c>
      <c r="CT87" s="14">
        <f t="shared" si="204"/>
        <v>0.39486027770820464</v>
      </c>
      <c r="CU87" s="14">
        <f t="shared" si="205"/>
        <v>0.39486027770820464</v>
      </c>
      <c r="CW87" s="20"/>
      <c r="CX87" s="14">
        <f t="shared" si="133"/>
        <v>181.54191668753859</v>
      </c>
      <c r="CY87" s="14">
        <f t="shared" si="134"/>
        <v>169.19850773414581</v>
      </c>
      <c r="CZ87" s="14">
        <f t="shared" si="135"/>
        <v>156.967508460842</v>
      </c>
      <c r="DA87" s="14">
        <f t="shared" si="136"/>
        <v>144.95910184856749</v>
      </c>
      <c r="DB87" s="14">
        <f t="shared" si="137"/>
        <v>133.27910009528986</v>
      </c>
      <c r="DC87" s="14">
        <f t="shared" si="138"/>
        <v>122.02696063746228</v>
      </c>
      <c r="DD87" s="14">
        <f t="shared" si="139"/>
        <v>111.29402993813457</v>
      </c>
      <c r="DE87" s="14">
        <f t="shared" si="140"/>
        <v>101.16206897432053</v>
      </c>
      <c r="DF87" s="14">
        <f t="shared" si="141"/>
        <v>91.702097833326576</v>
      </c>
      <c r="DG87" s="14">
        <f t="shared" si="142"/>
        <v>82.973578813769308</v>
      </c>
      <c r="DH87" s="14">
        <f t="shared" si="143"/>
        <v>75.02393929944003</v>
      </c>
      <c r="DI87" s="14">
        <f t="shared" si="144"/>
        <v>67.888418758862542</v>
      </c>
      <c r="DJ87" s="14">
        <f t="shared" si="145"/>
        <v>61.590209677941161</v>
      </c>
      <c r="DK87" s="14">
        <f t="shared" si="146"/>
        <v>56.140850951337065</v>
      </c>
      <c r="DL87" s="14">
        <f t="shared" si="147"/>
        <v>51.540824804488508</v>
      </c>
      <c r="DM87" s="14">
        <f t="shared" si="148"/>
        <v>47.780304896703704</v>
      </c>
      <c r="DN87" s="14">
        <f t="shared" si="149"/>
        <v>44.840003716220103</v>
      </c>
      <c r="DO87" s="14">
        <f t="shared" si="150"/>
        <v>42.692071255145002</v>
      </c>
      <c r="DP87" s="14">
        <f t="shared" si="151"/>
        <v>41.301003532417553</v>
      </c>
      <c r="DQ87" s="14">
        <f t="shared" si="152"/>
        <v>40.624527941577774</v>
      </c>
      <c r="DR87" s="14">
        <f t="shared" si="153"/>
        <v>40.614441697037336</v>
      </c>
      <c r="DS87" s="14">
        <f t="shared" si="154"/>
        <v>41.217388927577041</v>
      </c>
      <c r="DT87" s="14">
        <f t="shared" si="155"/>
        <v>42.375570424092295</v>
      </c>
      <c r="DU87" s="14">
        <f t="shared" si="156"/>
        <v>44.027387077887241</v>
      </c>
      <c r="DV87" s="14">
        <f t="shared" si="157"/>
        <v>46.108023260077019</v>
      </c>
      <c r="DW87" s="14">
        <f t="shared" si="158"/>
        <v>48.549979649337388</v>
      </c>
      <c r="DX87" s="14">
        <f t="shared" si="159"/>
        <v>51.283566405721025</v>
      </c>
      <c r="DY87" s="14">
        <f t="shared" si="160"/>
        <v>54.237367404117109</v>
      </c>
      <c r="DZ87" s="14">
        <f t="shared" si="161"/>
        <v>57.338684920739354</v>
      </c>
      <c r="EA87" s="14">
        <f t="shared" si="162"/>
        <v>60.513972229179537</v>
      </c>
    </row>
    <row r="88" spans="5:131" x14ac:dyDescent="0.25">
      <c r="E88" s="25"/>
      <c r="F88" s="6">
        <f t="shared" si="163"/>
        <v>300</v>
      </c>
      <c r="G88" s="6">
        <f t="shared" si="164"/>
        <v>279.60238189843892</v>
      </c>
      <c r="H88" s="6">
        <f t="shared" si="165"/>
        <v>259.39052202088476</v>
      </c>
      <c r="I88" s="6">
        <f t="shared" si="166"/>
        <v>239.54649894668285</v>
      </c>
      <c r="J88" s="6">
        <f t="shared" si="167"/>
        <v>220.2451684885815</v>
      </c>
      <c r="K88" s="6">
        <f t="shared" si="168"/>
        <v>201.65088514652405</v>
      </c>
      <c r="L88" s="6">
        <f t="shared" si="169"/>
        <v>183.91459994832263</v>
      </c>
      <c r="M88" s="6">
        <f t="shared" si="170"/>
        <v>167.1714238014286</v>
      </c>
      <c r="N88" s="6">
        <f t="shared" si="171"/>
        <v>151.53871817574765</v>
      </c>
      <c r="O88" s="6">
        <f t="shared" si="172"/>
        <v>137.11474516914933</v>
      </c>
      <c r="P88" s="6">
        <f t="shared" si="173"/>
        <v>123.97787905131747</v>
      </c>
      <c r="Q88" s="6">
        <f t="shared" si="174"/>
        <v>112.18635342884843</v>
      </c>
      <c r="R88" s="6">
        <f t="shared" si="175"/>
        <v>101.77849413799129</v>
      </c>
      <c r="S88" s="6">
        <f t="shared" si="176"/>
        <v>92.773369328193326</v>
      </c>
      <c r="T88" s="6">
        <f t="shared" si="177"/>
        <v>85.171775882257776</v>
      </c>
      <c r="U88" s="6">
        <f t="shared" si="178"/>
        <v>78.957475664875091</v>
      </c>
      <c r="V88" s="6">
        <f t="shared" si="179"/>
        <v>74.098595852212924</v>
      </c>
      <c r="W88" s="6">
        <f t="shared" si="180"/>
        <v>70.549114002070269</v>
      </c>
      <c r="X88" s="6">
        <f t="shared" si="181"/>
        <v>68.250359397994401</v>
      </c>
      <c r="Y88" s="6">
        <f t="shared" si="182"/>
        <v>67.132476096138404</v>
      </c>
      <c r="Z88" s="6">
        <f t="shared" si="183"/>
        <v>67.115808466880409</v>
      </c>
      <c r="AA88" s="6">
        <f t="shared" si="184"/>
        <v>68.112185350315229</v>
      </c>
      <c r="AB88" s="6">
        <f t="shared" si="185"/>
        <v>70.026092922154959</v>
      </c>
      <c r="AC88" s="6">
        <f t="shared" si="186"/>
        <v>72.755737982537283</v>
      </c>
      <c r="AD88" s="6">
        <f t="shared" si="187"/>
        <v>76.194011996859075</v>
      </c>
      <c r="AE88" s="6">
        <f t="shared" si="188"/>
        <v>80.229371599451596</v>
      </c>
      <c r="AF88" s="6">
        <f t="shared" si="189"/>
        <v>84.746653568698235</v>
      </c>
      <c r="AG88" s="6">
        <f t="shared" si="190"/>
        <v>89.627841977896352</v>
      </c>
      <c r="AH88" s="6">
        <f t="shared" si="252"/>
        <v>94.75280304453544</v>
      </c>
      <c r="AI88" s="6">
        <f t="shared" si="252"/>
        <v>100.00000000000001</v>
      </c>
      <c r="AK88" s="21"/>
      <c r="AL88" s="14">
        <f t="shared" si="192"/>
        <v>-1076400000</v>
      </c>
      <c r="AM88" s="14">
        <f t="shared" si="206"/>
        <v>-1003213346.2515988</v>
      </c>
      <c r="AN88" s="14">
        <f t="shared" si="207"/>
        <v>-930693193.01093447</v>
      </c>
      <c r="AO88" s="14">
        <f t="shared" si="208"/>
        <v>-859492838.220698</v>
      </c>
      <c r="AP88" s="14">
        <f t="shared" si="209"/>
        <v>-790239664.53703046</v>
      </c>
      <c r="AQ88" s="14">
        <f t="shared" si="210"/>
        <v>-723523375.90572834</v>
      </c>
      <c r="AR88" s="14">
        <f t="shared" si="211"/>
        <v>-659885584.61458158</v>
      </c>
      <c r="AS88" s="14">
        <f t="shared" si="212"/>
        <v>-599811068.59952581</v>
      </c>
      <c r="AT88" s="14">
        <f t="shared" si="213"/>
        <v>-543720920.81458259</v>
      </c>
      <c r="AU88" s="14">
        <f t="shared" si="214"/>
        <v>-491967705.66690779</v>
      </c>
      <c r="AV88" s="14">
        <f t="shared" si="215"/>
        <v>-444832630.03612703</v>
      </c>
      <c r="AW88" s="14">
        <f t="shared" si="216"/>
        <v>-402524636.10270816</v>
      </c>
      <c r="AX88" s="14">
        <f t="shared" si="217"/>
        <v>-365181236.96711272</v>
      </c>
      <c r="AY88" s="14">
        <f t="shared" si="218"/>
        <v>-332870849.14955765</v>
      </c>
      <c r="AZ88" s="14">
        <f t="shared" si="219"/>
        <v>-305596331.86554092</v>
      </c>
      <c r="BA88" s="14">
        <f t="shared" si="220"/>
        <v>-283299422.68557185</v>
      </c>
      <c r="BB88" s="14">
        <f t="shared" si="221"/>
        <v>-265865761.91773996</v>
      </c>
      <c r="BC88" s="14">
        <f t="shared" si="222"/>
        <v>-253130221.03942809</v>
      </c>
      <c r="BD88" s="14">
        <f t="shared" si="223"/>
        <v>-244882289.52000391</v>
      </c>
      <c r="BE88" s="14">
        <f t="shared" si="224"/>
        <v>-240871324.23294461</v>
      </c>
      <c r="BF88" s="14">
        <f t="shared" si="225"/>
        <v>-240811520.77916691</v>
      </c>
      <c r="BG88" s="14">
        <f t="shared" si="226"/>
        <v>-244386521.03693104</v>
      </c>
      <c r="BH88" s="14">
        <f t="shared" si="227"/>
        <v>-251253621.40469193</v>
      </c>
      <c r="BI88" s="14">
        <f t="shared" si="228"/>
        <v>-261047587.88134378</v>
      </c>
      <c r="BJ88" s="14">
        <f t="shared" si="194"/>
        <v>-273384115.04473031</v>
      </c>
      <c r="BK88" s="14">
        <f t="shared" si="195"/>
        <v>-287862985.2988323</v>
      </c>
      <c r="BL88" s="14">
        <f t="shared" si="196"/>
        <v>-304070993.00448924</v>
      </c>
      <c r="BM88" s="14">
        <f t="shared" si="197"/>
        <v>-321584697.01669216</v>
      </c>
      <c r="BN88" s="14">
        <f t="shared" si="198"/>
        <v>-339973057.32379311</v>
      </c>
      <c r="BO88" s="14">
        <f t="shared" si="199"/>
        <v>-358800000</v>
      </c>
      <c r="BQ88" s="20"/>
      <c r="BR88" s="14">
        <f t="shared" si="193"/>
        <v>0.39492590212780204</v>
      </c>
      <c r="BS88" s="14">
        <f t="shared" si="229"/>
        <v>0.39492590212780204</v>
      </c>
      <c r="BT88" s="14">
        <f t="shared" si="230"/>
        <v>0.39492590212780204</v>
      </c>
      <c r="BU88" s="14">
        <f t="shared" si="231"/>
        <v>0.39492590212780204</v>
      </c>
      <c r="BV88" s="14">
        <f t="shared" si="232"/>
        <v>0.39492590212780204</v>
      </c>
      <c r="BW88" s="14">
        <f t="shared" si="233"/>
        <v>0.39492590212780204</v>
      </c>
      <c r="BX88" s="14">
        <f t="shared" si="234"/>
        <v>0.39492590212780204</v>
      </c>
      <c r="BY88" s="14">
        <f t="shared" si="235"/>
        <v>0.39492590212780204</v>
      </c>
      <c r="BZ88" s="14">
        <f t="shared" si="236"/>
        <v>0.39492590212780204</v>
      </c>
      <c r="CA88" s="14">
        <f t="shared" si="237"/>
        <v>0.39492590212780204</v>
      </c>
      <c r="CB88" s="14">
        <f t="shared" si="238"/>
        <v>0.39492590212780204</v>
      </c>
      <c r="CC88" s="14">
        <f t="shared" si="239"/>
        <v>0.39492590212780204</v>
      </c>
      <c r="CD88" s="14">
        <f t="shared" si="240"/>
        <v>0.39492590212780204</v>
      </c>
      <c r="CE88" s="14">
        <f t="shared" si="241"/>
        <v>0.39492590212780204</v>
      </c>
      <c r="CF88" s="14">
        <f t="shared" si="242"/>
        <v>0.39492590212780204</v>
      </c>
      <c r="CG88" s="14">
        <f t="shared" si="243"/>
        <v>0.39492590212780204</v>
      </c>
      <c r="CH88" s="14">
        <f t="shared" si="244"/>
        <v>0.39492590212780204</v>
      </c>
      <c r="CI88" s="14">
        <f t="shared" si="245"/>
        <v>0.39492590212780204</v>
      </c>
      <c r="CJ88" s="14">
        <f t="shared" si="246"/>
        <v>0.39492590212780204</v>
      </c>
      <c r="CK88" s="14">
        <f t="shared" si="247"/>
        <v>0.39492590212780204</v>
      </c>
      <c r="CL88" s="14">
        <f t="shared" si="248"/>
        <v>0.39492590212780204</v>
      </c>
      <c r="CM88" s="14">
        <f t="shared" si="249"/>
        <v>0.39492590212780204</v>
      </c>
      <c r="CN88" s="14">
        <f t="shared" si="250"/>
        <v>0.39492590212780204</v>
      </c>
      <c r="CO88" s="14">
        <f t="shared" si="251"/>
        <v>0.39492590212780204</v>
      </c>
      <c r="CP88" s="14">
        <f t="shared" si="200"/>
        <v>0.39492590212780204</v>
      </c>
      <c r="CQ88" s="14">
        <f t="shared" si="201"/>
        <v>0.39492590212780204</v>
      </c>
      <c r="CR88" s="14">
        <f t="shared" si="202"/>
        <v>0.39492590212780204</v>
      </c>
      <c r="CS88" s="14">
        <f t="shared" si="203"/>
        <v>0.39492590212780204</v>
      </c>
      <c r="CT88" s="14">
        <f t="shared" si="204"/>
        <v>0.39492590212780204</v>
      </c>
      <c r="CU88" s="14">
        <f t="shared" si="205"/>
        <v>0.39492590212780204</v>
      </c>
      <c r="CW88" s="20"/>
      <c r="CX88" s="14">
        <f t="shared" si="133"/>
        <v>181.52222936165941</v>
      </c>
      <c r="CY88" s="14">
        <f t="shared" si="134"/>
        <v>169.18015899011573</v>
      </c>
      <c r="CZ88" s="14">
        <f t="shared" si="135"/>
        <v>156.95048610838535</v>
      </c>
      <c r="DA88" s="14">
        <f t="shared" si="136"/>
        <v>144.94338174860755</v>
      </c>
      <c r="DB88" s="14">
        <f t="shared" si="137"/>
        <v>133.2646466339387</v>
      </c>
      <c r="DC88" s="14">
        <f t="shared" si="138"/>
        <v>122.01372741516326</v>
      </c>
      <c r="DD88" s="14">
        <f t="shared" si="139"/>
        <v>111.2819606492575</v>
      </c>
      <c r="DE88" s="14">
        <f t="shared" si="140"/>
        <v>101.1510984466603</v>
      </c>
      <c r="DF88" s="14">
        <f t="shared" si="141"/>
        <v>91.692153192899767</v>
      </c>
      <c r="DG88" s="14">
        <f t="shared" si="142"/>
        <v>82.964580738199359</v>
      </c>
      <c r="DH88" s="14">
        <f t="shared" si="143"/>
        <v>75.015803323084398</v>
      </c>
      <c r="DI88" s="14">
        <f t="shared" si="144"/>
        <v>67.881056594532026</v>
      </c>
      <c r="DJ88" s="14">
        <f t="shared" si="145"/>
        <v>61.583530523335874</v>
      </c>
      <c r="DK88" s="14">
        <f t="shared" si="146"/>
        <v>56.134762752820819</v>
      </c>
      <c r="DL88" s="14">
        <f t="shared" si="147"/>
        <v>51.53523545613016</v>
      </c>
      <c r="DM88" s="14">
        <f t="shared" si="148"/>
        <v>47.775123358190328</v>
      </c>
      <c r="DN88" s="14">
        <f t="shared" si="149"/>
        <v>44.835141038874326</v>
      </c>
      <c r="DO88" s="14">
        <f t="shared" si="150"/>
        <v>42.68744151048552</v>
      </c>
      <c r="DP88" s="14">
        <f t="shared" si="151"/>
        <v>41.296524642194754</v>
      </c>
      <c r="DQ88" s="14">
        <f t="shared" si="152"/>
        <v>40.620122411797844</v>
      </c>
      <c r="DR88" s="14">
        <f t="shared" si="153"/>
        <v>40.610037261060889</v>
      </c>
      <c r="DS88" s="14">
        <f t="shared" si="154"/>
        <v>41.212919104945925</v>
      </c>
      <c r="DT88" s="14">
        <f t="shared" si="155"/>
        <v>42.370975002387617</v>
      </c>
      <c r="DU88" s="14">
        <f t="shared" si="156"/>
        <v>44.022612524809759</v>
      </c>
      <c r="DV88" s="14">
        <f t="shared" si="157"/>
        <v>46.103023072262928</v>
      </c>
      <c r="DW88" s="14">
        <f t="shared" si="158"/>
        <v>48.544714643391515</v>
      </c>
      <c r="DX88" s="14">
        <f t="shared" si="159"/>
        <v>51.27800495576777</v>
      </c>
      <c r="DY88" s="14">
        <f t="shared" si="160"/>
        <v>54.231485629007558</v>
      </c>
      <c r="DZ88" s="14">
        <f t="shared" si="161"/>
        <v>57.332466823034338</v>
      </c>
      <c r="EA88" s="14">
        <f t="shared" si="162"/>
        <v>60.507409787219807</v>
      </c>
    </row>
    <row r="89" spans="5:131" x14ac:dyDescent="0.25">
      <c r="E89" s="25"/>
      <c r="F89" s="6">
        <f t="shared" si="163"/>
        <v>300</v>
      </c>
      <c r="G89" s="6">
        <f t="shared" si="164"/>
        <v>279.60238189843898</v>
      </c>
      <c r="H89" s="6">
        <f t="shared" si="165"/>
        <v>259.39052202088476</v>
      </c>
      <c r="I89" s="6">
        <f t="shared" si="166"/>
        <v>239.54649894668285</v>
      </c>
      <c r="J89" s="6">
        <f t="shared" si="167"/>
        <v>220.2451684885815</v>
      </c>
      <c r="K89" s="6">
        <f t="shared" si="168"/>
        <v>201.65088514652405</v>
      </c>
      <c r="L89" s="6">
        <f t="shared" si="169"/>
        <v>183.91459994832263</v>
      </c>
      <c r="M89" s="6">
        <f t="shared" si="170"/>
        <v>167.1714238014286</v>
      </c>
      <c r="N89" s="6">
        <f t="shared" si="171"/>
        <v>151.53871817574768</v>
      </c>
      <c r="O89" s="6">
        <f t="shared" si="172"/>
        <v>137.11474516914936</v>
      </c>
      <c r="P89" s="6">
        <f t="shared" si="173"/>
        <v>123.97787905131747</v>
      </c>
      <c r="Q89" s="6">
        <f t="shared" si="174"/>
        <v>112.18635342884843</v>
      </c>
      <c r="R89" s="6">
        <f t="shared" si="175"/>
        <v>101.77849413799129</v>
      </c>
      <c r="S89" s="6">
        <f t="shared" si="176"/>
        <v>92.773369328193326</v>
      </c>
      <c r="T89" s="6">
        <f t="shared" si="177"/>
        <v>85.171775882257776</v>
      </c>
      <c r="U89" s="6">
        <f t="shared" si="178"/>
        <v>78.957475664875091</v>
      </c>
      <c r="V89" s="6">
        <f t="shared" si="179"/>
        <v>74.098595852212924</v>
      </c>
      <c r="W89" s="6">
        <f t="shared" si="180"/>
        <v>70.549114002070269</v>
      </c>
      <c r="X89" s="6">
        <f t="shared" si="181"/>
        <v>68.250359397994401</v>
      </c>
      <c r="Y89" s="6">
        <f t="shared" si="182"/>
        <v>67.132476096138404</v>
      </c>
      <c r="Z89" s="6">
        <f t="shared" si="183"/>
        <v>67.115808466880424</v>
      </c>
      <c r="AA89" s="6">
        <f t="shared" si="184"/>
        <v>68.112185350315229</v>
      </c>
      <c r="AB89" s="6">
        <f t="shared" si="185"/>
        <v>70.026092922154959</v>
      </c>
      <c r="AC89" s="6">
        <f t="shared" si="186"/>
        <v>72.755737982537283</v>
      </c>
      <c r="AD89" s="6">
        <f t="shared" si="187"/>
        <v>76.194011996859061</v>
      </c>
      <c r="AE89" s="6">
        <f t="shared" si="188"/>
        <v>80.229371599451582</v>
      </c>
      <c r="AF89" s="6">
        <f t="shared" si="189"/>
        <v>84.746653568698235</v>
      </c>
      <c r="AG89" s="6">
        <f t="shared" si="190"/>
        <v>89.627841977896367</v>
      </c>
      <c r="AH89" s="6">
        <f t="shared" si="252"/>
        <v>94.752803044535426</v>
      </c>
      <c r="AI89" s="6">
        <f t="shared" si="252"/>
        <v>100.00000000000001</v>
      </c>
      <c r="AK89" s="21"/>
      <c r="AL89" s="14">
        <f t="shared" si="192"/>
        <v>-1076400000</v>
      </c>
      <c r="AM89" s="14">
        <f t="shared" si="206"/>
        <v>-1003213346.2515991</v>
      </c>
      <c r="AN89" s="14">
        <f t="shared" si="207"/>
        <v>-930693193.01093447</v>
      </c>
      <c r="AO89" s="14">
        <f t="shared" si="208"/>
        <v>-859492838.220698</v>
      </c>
      <c r="AP89" s="14">
        <f t="shared" si="209"/>
        <v>-790239664.53703022</v>
      </c>
      <c r="AQ89" s="14">
        <f t="shared" si="210"/>
        <v>-723523375.90572822</v>
      </c>
      <c r="AR89" s="14">
        <f t="shared" si="211"/>
        <v>-659885584.61458158</v>
      </c>
      <c r="AS89" s="14">
        <f t="shared" si="212"/>
        <v>-599811068.59952581</v>
      </c>
      <c r="AT89" s="14">
        <f t="shared" si="213"/>
        <v>-543720920.81458259</v>
      </c>
      <c r="AU89" s="14">
        <f t="shared" si="214"/>
        <v>-491967705.66690791</v>
      </c>
      <c r="AV89" s="14">
        <f t="shared" si="215"/>
        <v>-444832630.03612703</v>
      </c>
      <c r="AW89" s="14">
        <f t="shared" si="216"/>
        <v>-402524636.10270816</v>
      </c>
      <c r="AX89" s="14">
        <f t="shared" si="217"/>
        <v>-365181236.96711278</v>
      </c>
      <c r="AY89" s="14">
        <f t="shared" si="218"/>
        <v>-332870849.14955771</v>
      </c>
      <c r="AZ89" s="14">
        <f t="shared" si="219"/>
        <v>-305596331.86554092</v>
      </c>
      <c r="BA89" s="14">
        <f t="shared" si="220"/>
        <v>-283299422.68557185</v>
      </c>
      <c r="BB89" s="14">
        <f t="shared" si="221"/>
        <v>-265865761.91773996</v>
      </c>
      <c r="BC89" s="14">
        <f t="shared" si="222"/>
        <v>-253130221.03942809</v>
      </c>
      <c r="BD89" s="14">
        <f t="shared" si="223"/>
        <v>-244882289.52000391</v>
      </c>
      <c r="BE89" s="14">
        <f t="shared" si="224"/>
        <v>-240871324.23294461</v>
      </c>
      <c r="BF89" s="14">
        <f t="shared" si="225"/>
        <v>-240811520.77916691</v>
      </c>
      <c r="BG89" s="14">
        <f t="shared" si="226"/>
        <v>-244386521.03693104</v>
      </c>
      <c r="BH89" s="14">
        <f t="shared" si="227"/>
        <v>-251253621.40469193</v>
      </c>
      <c r="BI89" s="14">
        <f t="shared" si="228"/>
        <v>-261047587.88134378</v>
      </c>
      <c r="BJ89" s="14">
        <f t="shared" si="194"/>
        <v>-273384115.04473031</v>
      </c>
      <c r="BK89" s="14">
        <f t="shared" si="195"/>
        <v>-287862985.2988323</v>
      </c>
      <c r="BL89" s="14">
        <f t="shared" si="196"/>
        <v>-304070993.00448924</v>
      </c>
      <c r="BM89" s="14">
        <f t="shared" si="197"/>
        <v>-321584697.01669216</v>
      </c>
      <c r="BN89" s="14">
        <f t="shared" si="198"/>
        <v>-339973057.32379311</v>
      </c>
      <c r="BO89" s="14">
        <f t="shared" si="199"/>
        <v>-358800000</v>
      </c>
      <c r="BQ89" s="20"/>
      <c r="BR89" s="14">
        <f t="shared" si="193"/>
        <v>0.39534673185434266</v>
      </c>
      <c r="BS89" s="14">
        <f t="shared" si="229"/>
        <v>0.39534673185434266</v>
      </c>
      <c r="BT89" s="14">
        <f t="shared" si="230"/>
        <v>0.39534673185434266</v>
      </c>
      <c r="BU89" s="14">
        <f t="shared" si="231"/>
        <v>0.39534673185434266</v>
      </c>
      <c r="BV89" s="14">
        <f t="shared" si="232"/>
        <v>0.39534673185434266</v>
      </c>
      <c r="BW89" s="14">
        <f t="shared" si="233"/>
        <v>0.39534673185434266</v>
      </c>
      <c r="BX89" s="14">
        <f t="shared" si="234"/>
        <v>0.39534673185434266</v>
      </c>
      <c r="BY89" s="14">
        <f t="shared" si="235"/>
        <v>0.39534673185434266</v>
      </c>
      <c r="BZ89" s="14">
        <f t="shared" si="236"/>
        <v>0.39534673185434266</v>
      </c>
      <c r="CA89" s="14">
        <f t="shared" si="237"/>
        <v>0.39534673185434266</v>
      </c>
      <c r="CB89" s="14">
        <f t="shared" si="238"/>
        <v>0.39534673185434266</v>
      </c>
      <c r="CC89" s="14">
        <f t="shared" si="239"/>
        <v>0.39534673185434266</v>
      </c>
      <c r="CD89" s="14">
        <f t="shared" si="240"/>
        <v>0.39534673185434266</v>
      </c>
      <c r="CE89" s="14">
        <f t="shared" si="241"/>
        <v>0.39534673185434266</v>
      </c>
      <c r="CF89" s="14">
        <f t="shared" si="242"/>
        <v>0.39534673185434266</v>
      </c>
      <c r="CG89" s="14">
        <f t="shared" si="243"/>
        <v>0.39534673185434266</v>
      </c>
      <c r="CH89" s="14">
        <f t="shared" si="244"/>
        <v>0.39534673185434266</v>
      </c>
      <c r="CI89" s="14">
        <f t="shared" si="245"/>
        <v>0.39534673185434266</v>
      </c>
      <c r="CJ89" s="14">
        <f t="shared" si="246"/>
        <v>0.39534673185434266</v>
      </c>
      <c r="CK89" s="14">
        <f t="shared" si="247"/>
        <v>0.39534673185434266</v>
      </c>
      <c r="CL89" s="14">
        <f t="shared" si="248"/>
        <v>0.39534673185434266</v>
      </c>
      <c r="CM89" s="14">
        <f t="shared" si="249"/>
        <v>0.39534673185434266</v>
      </c>
      <c r="CN89" s="14">
        <f t="shared" si="250"/>
        <v>0.39534673185434266</v>
      </c>
      <c r="CO89" s="14">
        <f t="shared" si="251"/>
        <v>0.39534673185434266</v>
      </c>
      <c r="CP89" s="14">
        <f t="shared" si="200"/>
        <v>0.39534673185434266</v>
      </c>
      <c r="CQ89" s="14">
        <f t="shared" si="201"/>
        <v>0.39534673185434266</v>
      </c>
      <c r="CR89" s="14">
        <f t="shared" si="202"/>
        <v>0.39534673185434266</v>
      </c>
      <c r="CS89" s="14">
        <f t="shared" si="203"/>
        <v>0.39534673185434266</v>
      </c>
      <c r="CT89" s="14">
        <f t="shared" si="204"/>
        <v>0.39534673185434266</v>
      </c>
      <c r="CU89" s="14">
        <f t="shared" si="205"/>
        <v>0.39534673185434266</v>
      </c>
      <c r="CW89" s="20"/>
      <c r="CX89" s="14">
        <f t="shared" si="133"/>
        <v>181.39598044369723</v>
      </c>
      <c r="CY89" s="14">
        <f t="shared" si="134"/>
        <v>169.06249399620134</v>
      </c>
      <c r="CZ89" s="14">
        <f t="shared" si="135"/>
        <v>156.84132686593605</v>
      </c>
      <c r="DA89" s="14">
        <f t="shared" si="136"/>
        <v>144.84257346096203</v>
      </c>
      <c r="DB89" s="14">
        <f t="shared" si="137"/>
        <v>133.17196091991175</v>
      </c>
      <c r="DC89" s="14">
        <f t="shared" si="138"/>
        <v>121.92886672831037</v>
      </c>
      <c r="DD89" s="14">
        <f t="shared" si="139"/>
        <v>111.20456391845444</v>
      </c>
      <c r="DE89" s="14">
        <f t="shared" si="140"/>
        <v>101.08074774209653</v>
      </c>
      <c r="DF89" s="14">
        <f t="shared" si="141"/>
        <v>91.62838119556956</v>
      </c>
      <c r="DG89" s="14">
        <f t="shared" si="142"/>
        <v>82.906878777485161</v>
      </c>
      <c r="DH89" s="14">
        <f t="shared" si="143"/>
        <v>74.96362974614614</v>
      </c>
      <c r="DI89" s="14">
        <f t="shared" si="144"/>
        <v>67.83384524209697</v>
      </c>
      <c r="DJ89" s="14">
        <f t="shared" si="145"/>
        <v>61.540699107480066</v>
      </c>
      <c r="DK89" s="14">
        <f t="shared" si="146"/>
        <v>56.095720961176191</v>
      </c>
      <c r="DL89" s="14">
        <f t="shared" si="147"/>
        <v>51.499392640976644</v>
      </c>
      <c r="DM89" s="14">
        <f t="shared" si="148"/>
        <v>47.741895705297935</v>
      </c>
      <c r="DN89" s="14">
        <f t="shared" si="149"/>
        <v>44.803958147044796</v>
      </c>
      <c r="DO89" s="14">
        <f t="shared" si="150"/>
        <v>42.657752346132341</v>
      </c>
      <c r="DP89" s="14">
        <f t="shared" si="151"/>
        <v>41.267802862113001</v>
      </c>
      <c r="DQ89" s="14">
        <f t="shared" si="152"/>
        <v>40.591871070240309</v>
      </c>
      <c r="DR89" s="14">
        <f t="shared" si="153"/>
        <v>40.581792933737226</v>
      </c>
      <c r="DS89" s="14">
        <f t="shared" si="154"/>
        <v>41.184255472610872</v>
      </c>
      <c r="DT89" s="14">
        <f t="shared" si="155"/>
        <v>42.341505940852471</v>
      </c>
      <c r="DU89" s="14">
        <f t="shared" si="156"/>
        <v>43.99199474749031</v>
      </c>
      <c r="DV89" s="14">
        <f t="shared" si="157"/>
        <v>46.070958367030251</v>
      </c>
      <c r="DW89" s="14">
        <f t="shared" si="158"/>
        <v>48.510951738880784</v>
      </c>
      <c r="DX89" s="14">
        <f t="shared" si="159"/>
        <v>51.242341044721222</v>
      </c>
      <c r="DY89" s="14">
        <f t="shared" si="160"/>
        <v>54.193767568777574</v>
      </c>
      <c r="DZ89" s="14">
        <f t="shared" si="161"/>
        <v>57.29259202684014</v>
      </c>
      <c r="EA89" s="14">
        <f t="shared" si="162"/>
        <v>60.465326814565742</v>
      </c>
    </row>
    <row r="90" spans="5:131" x14ac:dyDescent="0.25">
      <c r="E90" s="25"/>
      <c r="F90" s="6">
        <f t="shared" si="163"/>
        <v>300</v>
      </c>
      <c r="G90" s="6">
        <f t="shared" si="164"/>
        <v>279.60238189843903</v>
      </c>
      <c r="H90" s="6">
        <f t="shared" si="165"/>
        <v>259.39052202088476</v>
      </c>
      <c r="I90" s="6">
        <f t="shared" si="166"/>
        <v>239.54649894668287</v>
      </c>
      <c r="J90" s="6">
        <f t="shared" si="167"/>
        <v>220.24516848858153</v>
      </c>
      <c r="K90" s="6">
        <f t="shared" si="168"/>
        <v>201.65088514652408</v>
      </c>
      <c r="L90" s="6">
        <f t="shared" si="169"/>
        <v>183.91459994832263</v>
      </c>
      <c r="M90" s="6">
        <f t="shared" si="170"/>
        <v>167.1714238014286</v>
      </c>
      <c r="N90" s="6">
        <f t="shared" si="171"/>
        <v>151.5387181757477</v>
      </c>
      <c r="O90" s="6">
        <f t="shared" si="172"/>
        <v>137.11474516914939</v>
      </c>
      <c r="P90" s="6">
        <f t="shared" si="173"/>
        <v>123.9778790513175</v>
      </c>
      <c r="Q90" s="6">
        <f t="shared" si="174"/>
        <v>112.18635342884846</v>
      </c>
      <c r="R90" s="6">
        <f t="shared" si="175"/>
        <v>101.7784941379913</v>
      </c>
      <c r="S90" s="6">
        <f t="shared" si="176"/>
        <v>92.773369328193354</v>
      </c>
      <c r="T90" s="6">
        <f t="shared" si="177"/>
        <v>85.171775882257791</v>
      </c>
      <c r="U90" s="6">
        <f t="shared" si="178"/>
        <v>78.957475664875091</v>
      </c>
      <c r="V90" s="6">
        <f t="shared" si="179"/>
        <v>74.098595852212938</v>
      </c>
      <c r="W90" s="6">
        <f t="shared" si="180"/>
        <v>70.549114002070269</v>
      </c>
      <c r="X90" s="6">
        <f t="shared" si="181"/>
        <v>68.250359397994416</v>
      </c>
      <c r="Y90" s="6">
        <f t="shared" si="182"/>
        <v>67.132476096138419</v>
      </c>
      <c r="Z90" s="6">
        <f t="shared" si="183"/>
        <v>67.115808466880424</v>
      </c>
      <c r="AA90" s="6">
        <f t="shared" si="184"/>
        <v>68.112185350315229</v>
      </c>
      <c r="AB90" s="6">
        <f t="shared" si="185"/>
        <v>70.026092922154959</v>
      </c>
      <c r="AC90" s="6">
        <f t="shared" si="186"/>
        <v>72.755737982537283</v>
      </c>
      <c r="AD90" s="6">
        <f t="shared" si="187"/>
        <v>76.194011996859075</v>
      </c>
      <c r="AE90" s="6">
        <f t="shared" si="188"/>
        <v>80.229371599451596</v>
      </c>
      <c r="AF90" s="6">
        <f t="shared" si="189"/>
        <v>84.746653568698235</v>
      </c>
      <c r="AG90" s="6">
        <f t="shared" si="190"/>
        <v>89.627841977896367</v>
      </c>
      <c r="AH90" s="6">
        <f t="shared" si="252"/>
        <v>94.752803044535426</v>
      </c>
      <c r="AI90" s="6">
        <f t="shared" si="252"/>
        <v>100.00000000000001</v>
      </c>
      <c r="AK90" s="21"/>
      <c r="AL90" s="14">
        <f t="shared" si="192"/>
        <v>-1076400000</v>
      </c>
      <c r="AM90" s="14">
        <f t="shared" si="206"/>
        <v>-1003213346.2515991</v>
      </c>
      <c r="AN90" s="14">
        <f t="shared" si="207"/>
        <v>-930693193.01093447</v>
      </c>
      <c r="AO90" s="14">
        <f t="shared" si="208"/>
        <v>-859492838.22069824</v>
      </c>
      <c r="AP90" s="14">
        <f t="shared" si="209"/>
        <v>-790239664.53703046</v>
      </c>
      <c r="AQ90" s="14">
        <f t="shared" si="210"/>
        <v>-723523375.90572834</v>
      </c>
      <c r="AR90" s="14">
        <f t="shared" si="211"/>
        <v>-659885584.61458158</v>
      </c>
      <c r="AS90" s="14">
        <f t="shared" si="212"/>
        <v>-599811068.59952581</v>
      </c>
      <c r="AT90" s="14">
        <f t="shared" si="213"/>
        <v>-543720920.81458271</v>
      </c>
      <c r="AU90" s="14">
        <f t="shared" si="214"/>
        <v>-491967705.66690803</v>
      </c>
      <c r="AV90" s="14">
        <f t="shared" si="215"/>
        <v>-444832630.03612721</v>
      </c>
      <c r="AW90" s="14">
        <f t="shared" si="216"/>
        <v>-402524636.10270822</v>
      </c>
      <c r="AX90" s="14">
        <f t="shared" si="217"/>
        <v>-365181236.96711278</v>
      </c>
      <c r="AY90" s="14">
        <f t="shared" si="218"/>
        <v>-332870849.14955771</v>
      </c>
      <c r="AZ90" s="14">
        <f t="shared" si="219"/>
        <v>-305596331.86554092</v>
      </c>
      <c r="BA90" s="14">
        <f t="shared" si="220"/>
        <v>-283299422.68557185</v>
      </c>
      <c r="BB90" s="14">
        <f t="shared" si="221"/>
        <v>-265865761.91774002</v>
      </c>
      <c r="BC90" s="14">
        <f t="shared" si="222"/>
        <v>-253130221.03942811</v>
      </c>
      <c r="BD90" s="14">
        <f t="shared" si="223"/>
        <v>-244882289.52000397</v>
      </c>
      <c r="BE90" s="14">
        <f t="shared" si="224"/>
        <v>-240871324.23294464</v>
      </c>
      <c r="BF90" s="14">
        <f t="shared" si="225"/>
        <v>-240811520.77916697</v>
      </c>
      <c r="BG90" s="14">
        <f t="shared" si="226"/>
        <v>-244386521.03693104</v>
      </c>
      <c r="BH90" s="14">
        <f t="shared" si="227"/>
        <v>-251253621.40469193</v>
      </c>
      <c r="BI90" s="14">
        <f t="shared" si="228"/>
        <v>-261047587.88134378</v>
      </c>
      <c r="BJ90" s="14">
        <f t="shared" si="194"/>
        <v>-273384115.04473031</v>
      </c>
      <c r="BK90" s="14">
        <f t="shared" si="195"/>
        <v>-287862985.2988323</v>
      </c>
      <c r="BL90" s="14">
        <f t="shared" si="196"/>
        <v>-304070993.00448924</v>
      </c>
      <c r="BM90" s="14">
        <f t="shared" si="197"/>
        <v>-321584697.01669216</v>
      </c>
      <c r="BN90" s="14">
        <f t="shared" si="198"/>
        <v>-339973057.32379311</v>
      </c>
      <c r="BO90" s="14">
        <f t="shared" si="199"/>
        <v>-358800000</v>
      </c>
      <c r="BQ90" s="20"/>
      <c r="BR90" s="14">
        <f t="shared" si="193"/>
        <v>0.39804206615396576</v>
      </c>
      <c r="BS90" s="14">
        <f t="shared" si="229"/>
        <v>0.39804206615396576</v>
      </c>
      <c r="BT90" s="14">
        <f t="shared" si="230"/>
        <v>0.39804206615396576</v>
      </c>
      <c r="BU90" s="14">
        <f t="shared" si="231"/>
        <v>0.39804206615396576</v>
      </c>
      <c r="BV90" s="14">
        <f t="shared" si="232"/>
        <v>0.39804206615396576</v>
      </c>
      <c r="BW90" s="14">
        <f t="shared" si="233"/>
        <v>0.39804206615396576</v>
      </c>
      <c r="BX90" s="14">
        <f t="shared" si="234"/>
        <v>0.39804206615396576</v>
      </c>
      <c r="BY90" s="14">
        <f t="shared" si="235"/>
        <v>0.39804206615396576</v>
      </c>
      <c r="BZ90" s="14">
        <f t="shared" si="236"/>
        <v>0.39804206615396576</v>
      </c>
      <c r="CA90" s="14">
        <f t="shared" si="237"/>
        <v>0.39804206615396576</v>
      </c>
      <c r="CB90" s="14">
        <f t="shared" si="238"/>
        <v>0.39804206615396576</v>
      </c>
      <c r="CC90" s="14">
        <f t="shared" si="239"/>
        <v>0.39804206615396576</v>
      </c>
      <c r="CD90" s="14">
        <f t="shared" si="240"/>
        <v>0.39804206615396576</v>
      </c>
      <c r="CE90" s="14">
        <f t="shared" si="241"/>
        <v>0.39804206615396576</v>
      </c>
      <c r="CF90" s="14">
        <f t="shared" si="242"/>
        <v>0.39804206615396576</v>
      </c>
      <c r="CG90" s="14">
        <f t="shared" si="243"/>
        <v>0.39804206615396576</v>
      </c>
      <c r="CH90" s="14">
        <f t="shared" si="244"/>
        <v>0.39804206615396576</v>
      </c>
      <c r="CI90" s="14">
        <f t="shared" si="245"/>
        <v>0.39804206615396576</v>
      </c>
      <c r="CJ90" s="14">
        <f t="shared" si="246"/>
        <v>0.39804206615396576</v>
      </c>
      <c r="CK90" s="14">
        <f t="shared" si="247"/>
        <v>0.39804206615396576</v>
      </c>
      <c r="CL90" s="14">
        <f t="shared" si="248"/>
        <v>0.39804206615396576</v>
      </c>
      <c r="CM90" s="14">
        <f t="shared" si="249"/>
        <v>0.39804206615396576</v>
      </c>
      <c r="CN90" s="14">
        <f t="shared" si="250"/>
        <v>0.39804206615396576</v>
      </c>
      <c r="CO90" s="14">
        <f t="shared" si="251"/>
        <v>0.39804206615396576</v>
      </c>
      <c r="CP90" s="14">
        <f t="shared" si="200"/>
        <v>0.39804206615396576</v>
      </c>
      <c r="CQ90" s="14">
        <f t="shared" si="201"/>
        <v>0.39804206615396576</v>
      </c>
      <c r="CR90" s="14">
        <f t="shared" si="202"/>
        <v>0.39804206615396576</v>
      </c>
      <c r="CS90" s="14">
        <f t="shared" si="203"/>
        <v>0.39804206615396576</v>
      </c>
      <c r="CT90" s="14">
        <f t="shared" si="204"/>
        <v>0.39804206615396576</v>
      </c>
      <c r="CU90" s="14">
        <f t="shared" si="205"/>
        <v>0.39804206615396576</v>
      </c>
      <c r="CW90" s="20"/>
      <c r="CX90" s="14">
        <f t="shared" si="133"/>
        <v>180.5873801538103</v>
      </c>
      <c r="CY90" s="14">
        <f t="shared" si="134"/>
        <v>168.30887210601418</v>
      </c>
      <c r="CZ90" s="14">
        <f t="shared" si="135"/>
        <v>156.14218269493605</v>
      </c>
      <c r="DA90" s="14">
        <f t="shared" si="136"/>
        <v>144.19691556599645</v>
      </c>
      <c r="DB90" s="14">
        <f t="shared" si="137"/>
        <v>132.57832656295824</v>
      </c>
      <c r="DC90" s="14">
        <f t="shared" si="138"/>
        <v>121.3853501810256</v>
      </c>
      <c r="DD90" s="14">
        <f t="shared" si="139"/>
        <v>110.70885258901227</v>
      </c>
      <c r="DE90" s="14">
        <f t="shared" si="140"/>
        <v>100.63016486960773</v>
      </c>
      <c r="DF90" s="14">
        <f t="shared" si="141"/>
        <v>91.219933690749571</v>
      </c>
      <c r="DG90" s="14">
        <f t="shared" si="142"/>
        <v>82.537308701846698</v>
      </c>
      <c r="DH90" s="14">
        <f t="shared" si="143"/>
        <v>74.629467916344623</v>
      </c>
      <c r="DI90" s="14">
        <f t="shared" si="144"/>
        <v>67.531465515750583</v>
      </c>
      <c r="DJ90" s="14">
        <f t="shared" si="145"/>
        <v>61.26637204126596</v>
      </c>
      <c r="DK90" s="14">
        <f t="shared" si="146"/>
        <v>55.845665716734324</v>
      </c>
      <c r="DL90" s="14">
        <f t="shared" si="147"/>
        <v>51.269826232081392</v>
      </c>
      <c r="DM90" s="14">
        <f t="shared" si="148"/>
        <v>47.529078912926742</v>
      </c>
      <c r="DN90" s="14">
        <f t="shared" si="149"/>
        <v>44.604237660090426</v>
      </c>
      <c r="DO90" s="14">
        <f t="shared" si="150"/>
        <v>42.467598899354549</v>
      </c>
      <c r="DP90" s="14">
        <f t="shared" si="151"/>
        <v>41.083845327465994</v>
      </c>
      <c r="DQ90" s="14">
        <f t="shared" si="152"/>
        <v>40.410926604799769</v>
      </c>
      <c r="DR90" s="14">
        <f t="shared" si="153"/>
        <v>40.400893393129515</v>
      </c>
      <c r="DS90" s="14">
        <f t="shared" si="154"/>
        <v>41.000670363213878</v>
      </c>
      <c r="DT90" s="14">
        <f t="shared" si="155"/>
        <v>42.152762210730799</v>
      </c>
      <c r="DU90" s="14">
        <f t="shared" si="156"/>
        <v>43.795893711411587</v>
      </c>
      <c r="DV90" s="14">
        <f t="shared" si="157"/>
        <v>45.865590033069232</v>
      </c>
      <c r="DW90" s="14">
        <f t="shared" si="158"/>
        <v>48.294706761771586</v>
      </c>
      <c r="DX90" s="14">
        <f t="shared" si="159"/>
        <v>51.013920482579238</v>
      </c>
      <c r="DY90" s="14">
        <f t="shared" si="160"/>
        <v>53.952190572093357</v>
      </c>
      <c r="DZ90" s="14">
        <f t="shared" si="161"/>
        <v>57.037201546808774</v>
      </c>
      <c r="EA90" s="14">
        <f t="shared" si="162"/>
        <v>60.195793384603434</v>
      </c>
    </row>
    <row r="91" spans="5:131" x14ac:dyDescent="0.25">
      <c r="E91" s="25"/>
      <c r="F91" s="6">
        <f t="shared" si="163"/>
        <v>300</v>
      </c>
      <c r="G91" s="6">
        <f t="shared" si="164"/>
        <v>279.60238189843903</v>
      </c>
      <c r="H91" s="6">
        <f t="shared" si="165"/>
        <v>259.39052202088476</v>
      </c>
      <c r="I91" s="6">
        <f t="shared" si="166"/>
        <v>239.54649894668287</v>
      </c>
      <c r="J91" s="6">
        <f t="shared" si="167"/>
        <v>220.24516848858153</v>
      </c>
      <c r="K91" s="6">
        <f t="shared" si="168"/>
        <v>201.65088514652408</v>
      </c>
      <c r="L91" s="6">
        <f t="shared" si="169"/>
        <v>183.91459994832263</v>
      </c>
      <c r="M91" s="6">
        <f t="shared" si="170"/>
        <v>167.1714238014286</v>
      </c>
      <c r="N91" s="6">
        <f t="shared" si="171"/>
        <v>151.5387181757477</v>
      </c>
      <c r="O91" s="6">
        <f t="shared" si="172"/>
        <v>137.11474516914942</v>
      </c>
      <c r="P91" s="6">
        <f t="shared" si="173"/>
        <v>123.9778790513175</v>
      </c>
      <c r="Q91" s="6">
        <f t="shared" si="174"/>
        <v>112.18635342884846</v>
      </c>
      <c r="R91" s="6">
        <f t="shared" si="175"/>
        <v>101.7784941379913</v>
      </c>
      <c r="S91" s="6">
        <f t="shared" si="176"/>
        <v>92.773369328193354</v>
      </c>
      <c r="T91" s="6">
        <f t="shared" si="177"/>
        <v>85.171775882257791</v>
      </c>
      <c r="U91" s="6">
        <f t="shared" si="178"/>
        <v>78.957475664875091</v>
      </c>
      <c r="V91" s="6">
        <f t="shared" si="179"/>
        <v>74.098595852212938</v>
      </c>
      <c r="W91" s="6">
        <f t="shared" si="180"/>
        <v>70.549114002070269</v>
      </c>
      <c r="X91" s="6">
        <f t="shared" si="181"/>
        <v>68.250359397994416</v>
      </c>
      <c r="Y91" s="6">
        <f t="shared" si="182"/>
        <v>67.132476096138419</v>
      </c>
      <c r="Z91" s="6">
        <f t="shared" si="183"/>
        <v>67.115808466880424</v>
      </c>
      <c r="AA91" s="6">
        <f t="shared" si="184"/>
        <v>68.112185350315229</v>
      </c>
      <c r="AB91" s="6">
        <f t="shared" si="185"/>
        <v>70.026092922154959</v>
      </c>
      <c r="AC91" s="6">
        <f t="shared" si="186"/>
        <v>72.755737982537283</v>
      </c>
      <c r="AD91" s="6">
        <f t="shared" si="187"/>
        <v>76.194011996859075</v>
      </c>
      <c r="AE91" s="6">
        <f t="shared" si="188"/>
        <v>80.229371599451582</v>
      </c>
      <c r="AF91" s="6">
        <f t="shared" si="189"/>
        <v>84.746653568698235</v>
      </c>
      <c r="AG91" s="6">
        <f t="shared" si="190"/>
        <v>89.627841977896367</v>
      </c>
      <c r="AH91" s="6">
        <f t="shared" si="252"/>
        <v>94.752803044535426</v>
      </c>
      <c r="AI91" s="6">
        <f t="shared" si="252"/>
        <v>100</v>
      </c>
      <c r="AK91" s="21"/>
      <c r="AL91" s="14">
        <f t="shared" si="192"/>
        <v>-1076400000</v>
      </c>
      <c r="AM91" s="14">
        <f t="shared" si="206"/>
        <v>-1003213346.2515991</v>
      </c>
      <c r="AN91" s="14">
        <f t="shared" si="207"/>
        <v>-930693193.01093447</v>
      </c>
      <c r="AO91" s="14">
        <f t="shared" si="208"/>
        <v>-859492838.22069824</v>
      </c>
      <c r="AP91" s="14">
        <f t="shared" si="209"/>
        <v>-790239664.53703046</v>
      </c>
      <c r="AQ91" s="14">
        <f t="shared" si="210"/>
        <v>-723523375.90572834</v>
      </c>
      <c r="AR91" s="14">
        <f t="shared" si="211"/>
        <v>-659885584.61458158</v>
      </c>
      <c r="AS91" s="14">
        <f t="shared" si="212"/>
        <v>-599811068.59952581</v>
      </c>
      <c r="AT91" s="14">
        <f t="shared" si="213"/>
        <v>-543720920.81458271</v>
      </c>
      <c r="AU91" s="14">
        <f t="shared" si="214"/>
        <v>-491967705.66690803</v>
      </c>
      <c r="AV91" s="14">
        <f t="shared" si="215"/>
        <v>-444832630.03612721</v>
      </c>
      <c r="AW91" s="14">
        <f t="shared" si="216"/>
        <v>-402524636.10270822</v>
      </c>
      <c r="AX91" s="14">
        <f t="shared" si="217"/>
        <v>-365181236.96711278</v>
      </c>
      <c r="AY91" s="14">
        <f t="shared" si="218"/>
        <v>-332870849.14955771</v>
      </c>
      <c r="AZ91" s="14">
        <f t="shared" si="219"/>
        <v>-305596331.86554092</v>
      </c>
      <c r="BA91" s="14">
        <f t="shared" si="220"/>
        <v>-283299422.68557185</v>
      </c>
      <c r="BB91" s="14">
        <f t="shared" si="221"/>
        <v>-265865761.91774002</v>
      </c>
      <c r="BC91" s="14">
        <f t="shared" si="222"/>
        <v>-253130221.03942811</v>
      </c>
      <c r="BD91" s="14">
        <f t="shared" si="223"/>
        <v>-244882289.52000397</v>
      </c>
      <c r="BE91" s="14">
        <f t="shared" si="224"/>
        <v>-240871324.23294464</v>
      </c>
      <c r="BF91" s="14">
        <f t="shared" si="225"/>
        <v>-240811520.77916697</v>
      </c>
      <c r="BG91" s="14">
        <f t="shared" si="226"/>
        <v>-244386521.03693104</v>
      </c>
      <c r="BH91" s="14">
        <f t="shared" si="227"/>
        <v>-251253621.40469193</v>
      </c>
      <c r="BI91" s="14">
        <f t="shared" si="228"/>
        <v>-261047587.88134378</v>
      </c>
      <c r="BJ91" s="14">
        <f t="shared" si="194"/>
        <v>-273384115.04473031</v>
      </c>
      <c r="BK91" s="14">
        <f t="shared" si="195"/>
        <v>-287862985.2988323</v>
      </c>
      <c r="BL91" s="14">
        <f t="shared" si="196"/>
        <v>-304070993.00448924</v>
      </c>
      <c r="BM91" s="14">
        <f t="shared" si="197"/>
        <v>-321584697.01669216</v>
      </c>
      <c r="BN91" s="14">
        <f t="shared" si="198"/>
        <v>-339973057.32379311</v>
      </c>
      <c r="BO91" s="14">
        <f t="shared" si="199"/>
        <v>-358800000</v>
      </c>
      <c r="BQ91" s="20"/>
      <c r="BR91" s="14">
        <f t="shared" si="193"/>
        <v>0.41517002114434032</v>
      </c>
      <c r="BS91" s="14">
        <f t="shared" si="229"/>
        <v>0.41517002114434032</v>
      </c>
      <c r="BT91" s="14">
        <f t="shared" si="230"/>
        <v>0.41517002114434032</v>
      </c>
      <c r="BU91" s="14">
        <f t="shared" si="231"/>
        <v>0.41517002114434032</v>
      </c>
      <c r="BV91" s="14">
        <f t="shared" si="232"/>
        <v>0.41517002114434032</v>
      </c>
      <c r="BW91" s="14">
        <f t="shared" si="233"/>
        <v>0.41517002114434032</v>
      </c>
      <c r="BX91" s="14">
        <f t="shared" si="234"/>
        <v>0.41517002114434032</v>
      </c>
      <c r="BY91" s="14">
        <f t="shared" si="235"/>
        <v>0.41517002114434032</v>
      </c>
      <c r="BZ91" s="14">
        <f t="shared" si="236"/>
        <v>0.41517002114434032</v>
      </c>
      <c r="CA91" s="14">
        <f t="shared" si="237"/>
        <v>0.41517002114434032</v>
      </c>
      <c r="CB91" s="14">
        <f t="shared" si="238"/>
        <v>0.41517002114434032</v>
      </c>
      <c r="CC91" s="14">
        <f t="shared" si="239"/>
        <v>0.41517002114434032</v>
      </c>
      <c r="CD91" s="14">
        <f t="shared" si="240"/>
        <v>0.41517002114434032</v>
      </c>
      <c r="CE91" s="14">
        <f t="shared" si="241"/>
        <v>0.41517002114434032</v>
      </c>
      <c r="CF91" s="14">
        <f t="shared" si="242"/>
        <v>0.41517002114434032</v>
      </c>
      <c r="CG91" s="14">
        <f t="shared" si="243"/>
        <v>0.41517002114434032</v>
      </c>
      <c r="CH91" s="14">
        <f t="shared" si="244"/>
        <v>0.41517002114434032</v>
      </c>
      <c r="CI91" s="14">
        <f t="shared" si="245"/>
        <v>0.41517002114434032</v>
      </c>
      <c r="CJ91" s="14">
        <f t="shared" si="246"/>
        <v>0.41517002114434032</v>
      </c>
      <c r="CK91" s="14">
        <f t="shared" si="247"/>
        <v>0.41517002114434032</v>
      </c>
      <c r="CL91" s="14">
        <f t="shared" si="248"/>
        <v>0.41517002114434032</v>
      </c>
      <c r="CM91" s="14">
        <f t="shared" si="249"/>
        <v>0.41517002114434032</v>
      </c>
      <c r="CN91" s="14">
        <f t="shared" si="250"/>
        <v>0.41517002114434032</v>
      </c>
      <c r="CO91" s="14">
        <f t="shared" si="251"/>
        <v>0.41517002114434032</v>
      </c>
      <c r="CP91" s="14">
        <f t="shared" si="200"/>
        <v>0.41517002114434032</v>
      </c>
      <c r="CQ91" s="14">
        <f t="shared" si="201"/>
        <v>0.41517002114434032</v>
      </c>
      <c r="CR91" s="14">
        <f t="shared" si="202"/>
        <v>0.41517002114434032</v>
      </c>
      <c r="CS91" s="14">
        <f t="shared" si="203"/>
        <v>0.41517002114434032</v>
      </c>
      <c r="CT91" s="14">
        <f t="shared" si="204"/>
        <v>0.41517002114434032</v>
      </c>
      <c r="CU91" s="14">
        <f t="shared" si="205"/>
        <v>0.41517002114434032</v>
      </c>
      <c r="CW91" s="20"/>
      <c r="CX91" s="14">
        <f t="shared" si="133"/>
        <v>175.44899365669792</v>
      </c>
      <c r="CY91" s="14">
        <f t="shared" si="134"/>
        <v>163.51985509365616</v>
      </c>
      <c r="CZ91" s="14">
        <f t="shared" si="135"/>
        <v>151.69935350883256</v>
      </c>
      <c r="DA91" s="14">
        <f t="shared" si="136"/>
        <v>140.09397391393586</v>
      </c>
      <c r="DB91" s="14">
        <f t="shared" si="137"/>
        <v>128.80597723023834</v>
      </c>
      <c r="DC91" s="14">
        <f t="shared" si="138"/>
        <v>117.93148289646673</v>
      </c>
      <c r="DD91" s="14">
        <f t="shared" si="139"/>
        <v>107.55877159902464</v>
      </c>
      <c r="DE91" s="14">
        <f t="shared" si="140"/>
        <v>97.766860247060023</v>
      </c>
      <c r="DF91" s="14">
        <f t="shared" si="141"/>
        <v>88.6243853465363</v>
      </c>
      <c r="DG91" s="14">
        <f t="shared" si="142"/>
        <v>80.18881351807282</v>
      </c>
      <c r="DH91" s="14">
        <f t="shared" si="143"/>
        <v>72.505980384151556</v>
      </c>
      <c r="DI91" s="14">
        <f t="shared" si="144"/>
        <v>65.609942703687011</v>
      </c>
      <c r="DJ91" s="14">
        <f t="shared" si="145"/>
        <v>59.523114574682339</v>
      </c>
      <c r="DK91" s="14">
        <f t="shared" si="146"/>
        <v>54.256647622575628</v>
      </c>
      <c r="DL91" s="14">
        <f t="shared" si="147"/>
        <v>49.811007888319807</v>
      </c>
      <c r="DM91" s="14">
        <f t="shared" si="148"/>
        <v>46.176698823585163</v>
      </c>
      <c r="DN91" s="14">
        <f t="shared" si="149"/>
        <v>43.335080245483766</v>
      </c>
      <c r="DO91" s="14">
        <f t="shared" si="150"/>
        <v>41.259236850116281</v>
      </c>
      <c r="DP91" s="14">
        <f t="shared" si="151"/>
        <v>39.91485624362025</v>
      </c>
      <c r="DQ91" s="14">
        <f t="shared" si="152"/>
        <v>39.261084575832712</v>
      </c>
      <c r="DR91" s="14">
        <f t="shared" si="153"/>
        <v>39.251336846566183</v>
      </c>
      <c r="DS91" s="14">
        <f t="shared" si="154"/>
        <v>39.83404791823763</v>
      </c>
      <c r="DT91" s="14">
        <f t="shared" si="155"/>
        <v>40.953358443008341</v>
      </c>
      <c r="DU91" s="14">
        <f t="shared" si="156"/>
        <v>42.549736705955198</v>
      </c>
      <c r="DV91" s="14">
        <f t="shared" si="157"/>
        <v>44.560542425050969</v>
      </c>
      <c r="DW91" s="14">
        <f t="shared" si="158"/>
        <v>46.920541696110135</v>
      </c>
      <c r="DX91" s="14">
        <f t="shared" si="159"/>
        <v>49.562383614669706</v>
      </c>
      <c r="DY91" s="14">
        <f t="shared" si="160"/>
        <v>52.417048928811539</v>
      </c>
      <c r="DZ91" s="14">
        <f t="shared" si="161"/>
        <v>55.414279801050149</v>
      </c>
      <c r="EA91" s="14">
        <f t="shared" si="162"/>
        <v>58.482997885565972</v>
      </c>
    </row>
    <row r="92" spans="5:131" x14ac:dyDescent="0.25">
      <c r="E92" s="25"/>
      <c r="F92" s="6">
        <f t="shared" si="163"/>
        <v>300</v>
      </c>
      <c r="G92" s="6">
        <f t="shared" si="164"/>
        <v>279.60238189843903</v>
      </c>
      <c r="H92" s="6">
        <f t="shared" si="165"/>
        <v>259.39052202088476</v>
      </c>
      <c r="I92" s="6">
        <f t="shared" si="166"/>
        <v>239.5464989466829</v>
      </c>
      <c r="J92" s="6">
        <f t="shared" si="167"/>
        <v>220.2451684885815</v>
      </c>
      <c r="K92" s="6">
        <f t="shared" si="168"/>
        <v>201.65088514652408</v>
      </c>
      <c r="L92" s="6">
        <f t="shared" si="169"/>
        <v>183.91459994832263</v>
      </c>
      <c r="M92" s="6">
        <f t="shared" si="170"/>
        <v>167.1714238014286</v>
      </c>
      <c r="N92" s="6">
        <f t="shared" si="171"/>
        <v>151.5387181757477</v>
      </c>
      <c r="O92" s="6">
        <f t="shared" si="172"/>
        <v>137.11474516914942</v>
      </c>
      <c r="P92" s="6">
        <f t="shared" si="173"/>
        <v>123.9778790513175</v>
      </c>
      <c r="Q92" s="6">
        <f t="shared" si="174"/>
        <v>112.18635342884846</v>
      </c>
      <c r="R92" s="6">
        <f t="shared" si="175"/>
        <v>101.7784941379913</v>
      </c>
      <c r="S92" s="6">
        <f t="shared" si="176"/>
        <v>92.773369328193354</v>
      </c>
      <c r="T92" s="6">
        <f t="shared" si="177"/>
        <v>85.171775882257791</v>
      </c>
      <c r="U92" s="6">
        <f t="shared" si="178"/>
        <v>78.957475664875091</v>
      </c>
      <c r="V92" s="6">
        <f t="shared" si="179"/>
        <v>74.098595852212938</v>
      </c>
      <c r="W92" s="6">
        <f t="shared" si="180"/>
        <v>70.549114002070269</v>
      </c>
      <c r="X92" s="6">
        <f t="shared" si="181"/>
        <v>68.250359397994416</v>
      </c>
      <c r="Y92" s="6">
        <f t="shared" si="182"/>
        <v>67.132476096138419</v>
      </c>
      <c r="Z92" s="6">
        <f t="shared" si="183"/>
        <v>67.115808466880424</v>
      </c>
      <c r="AA92" s="6">
        <f t="shared" si="184"/>
        <v>68.112185350315229</v>
      </c>
      <c r="AB92" s="6">
        <f t="shared" si="185"/>
        <v>70.026092922154959</v>
      </c>
      <c r="AC92" s="6">
        <f t="shared" si="186"/>
        <v>72.755737982537283</v>
      </c>
      <c r="AD92" s="6">
        <f t="shared" si="187"/>
        <v>76.194011996859075</v>
      </c>
      <c r="AE92" s="6">
        <f t="shared" si="188"/>
        <v>80.229371599451582</v>
      </c>
      <c r="AF92" s="6">
        <f t="shared" si="189"/>
        <v>84.746653568698235</v>
      </c>
      <c r="AG92" s="6">
        <f t="shared" si="190"/>
        <v>89.627841977896367</v>
      </c>
      <c r="AH92" s="6">
        <f t="shared" si="252"/>
        <v>94.752803044535426</v>
      </c>
      <c r="AI92" s="6">
        <f t="shared" si="252"/>
        <v>100</v>
      </c>
      <c r="AK92" s="21"/>
      <c r="AL92" s="14">
        <f t="shared" si="192"/>
        <v>-1076400000</v>
      </c>
      <c r="AM92" s="14">
        <f t="shared" si="206"/>
        <v>-1003213346.2515991</v>
      </c>
      <c r="AN92" s="14">
        <f t="shared" si="207"/>
        <v>-930693193.01093447</v>
      </c>
      <c r="AO92" s="14">
        <f t="shared" si="208"/>
        <v>-859492838.22069824</v>
      </c>
      <c r="AP92" s="14">
        <f t="shared" si="209"/>
        <v>-790239664.53703046</v>
      </c>
      <c r="AQ92" s="14">
        <f t="shared" si="210"/>
        <v>-723523375.90572834</v>
      </c>
      <c r="AR92" s="14">
        <f t="shared" si="211"/>
        <v>-659885584.61458158</v>
      </c>
      <c r="AS92" s="14">
        <f t="shared" si="212"/>
        <v>-599811068.59952581</v>
      </c>
      <c r="AT92" s="14">
        <f t="shared" si="213"/>
        <v>-543720920.81458271</v>
      </c>
      <c r="AU92" s="14">
        <f t="shared" si="214"/>
        <v>-491967705.66690803</v>
      </c>
      <c r="AV92" s="14">
        <f t="shared" si="215"/>
        <v>-444832630.03612721</v>
      </c>
      <c r="AW92" s="14">
        <f t="shared" si="216"/>
        <v>-402524636.10270822</v>
      </c>
      <c r="AX92" s="14">
        <f t="shared" si="217"/>
        <v>-365181236.96711278</v>
      </c>
      <c r="AY92" s="14">
        <f t="shared" si="218"/>
        <v>-332870849.14955771</v>
      </c>
      <c r="AZ92" s="14">
        <f t="shared" si="219"/>
        <v>-305596331.86554092</v>
      </c>
      <c r="BA92" s="14">
        <f t="shared" si="220"/>
        <v>-283299422.68557185</v>
      </c>
      <c r="BB92" s="14">
        <f t="shared" si="221"/>
        <v>-265865761.91774002</v>
      </c>
      <c r="BC92" s="14">
        <f t="shared" si="222"/>
        <v>-253130221.03942811</v>
      </c>
      <c r="BD92" s="14">
        <f t="shared" si="223"/>
        <v>-244882289.52000397</v>
      </c>
      <c r="BE92" s="14">
        <f t="shared" si="224"/>
        <v>-240871324.23294464</v>
      </c>
      <c r="BF92" s="14">
        <f t="shared" si="225"/>
        <v>-240811520.77916697</v>
      </c>
      <c r="BG92" s="14">
        <f t="shared" si="226"/>
        <v>-244386521.03693104</v>
      </c>
      <c r="BH92" s="14">
        <f t="shared" si="227"/>
        <v>-251253621.40469193</v>
      </c>
      <c r="BI92" s="14">
        <f t="shared" si="228"/>
        <v>-261047587.88134378</v>
      </c>
      <c r="BJ92" s="14">
        <f t="shared" si="194"/>
        <v>-273384115.04473031</v>
      </c>
      <c r="BK92" s="14">
        <f t="shared" si="195"/>
        <v>-287862985.2988323</v>
      </c>
      <c r="BL92" s="14">
        <f t="shared" si="196"/>
        <v>-304070993.00448924</v>
      </c>
      <c r="BM92" s="14">
        <f t="shared" si="197"/>
        <v>-321584697.01669216</v>
      </c>
      <c r="BN92" s="14">
        <f t="shared" si="198"/>
        <v>-339973057.32379311</v>
      </c>
      <c r="BO92" s="14">
        <f t="shared" si="199"/>
        <v>-358800000</v>
      </c>
      <c r="BQ92" s="20"/>
      <c r="BR92" s="14">
        <f t="shared" si="193"/>
        <v>0.51881554595928436</v>
      </c>
      <c r="BS92" s="14">
        <f t="shared" si="229"/>
        <v>0.51881554595928436</v>
      </c>
      <c r="BT92" s="14">
        <f t="shared" si="230"/>
        <v>0.51881554595928436</v>
      </c>
      <c r="BU92" s="14">
        <f t="shared" si="231"/>
        <v>0.51881554595928436</v>
      </c>
      <c r="BV92" s="14">
        <f t="shared" si="232"/>
        <v>0.51881554595928436</v>
      </c>
      <c r="BW92" s="14">
        <f t="shared" si="233"/>
        <v>0.51881554595928436</v>
      </c>
      <c r="BX92" s="14">
        <f t="shared" si="234"/>
        <v>0.51881554595928436</v>
      </c>
      <c r="BY92" s="14">
        <f t="shared" si="235"/>
        <v>0.51881554595928436</v>
      </c>
      <c r="BZ92" s="14">
        <f t="shared" si="236"/>
        <v>0.51881554595928436</v>
      </c>
      <c r="CA92" s="14">
        <f t="shared" si="237"/>
        <v>0.51881554595928436</v>
      </c>
      <c r="CB92" s="14">
        <f t="shared" si="238"/>
        <v>0.51881554595928436</v>
      </c>
      <c r="CC92" s="14">
        <f t="shared" si="239"/>
        <v>0.51881554595928436</v>
      </c>
      <c r="CD92" s="14">
        <f t="shared" si="240"/>
        <v>0.51881554595928436</v>
      </c>
      <c r="CE92" s="14">
        <f t="shared" si="241"/>
        <v>0.51881554595928436</v>
      </c>
      <c r="CF92" s="14">
        <f t="shared" si="242"/>
        <v>0.51881554595928436</v>
      </c>
      <c r="CG92" s="14">
        <f t="shared" si="243"/>
        <v>0.51881554595928436</v>
      </c>
      <c r="CH92" s="14">
        <f t="shared" si="244"/>
        <v>0.51881554595928436</v>
      </c>
      <c r="CI92" s="14">
        <f t="shared" si="245"/>
        <v>0.51881554595928436</v>
      </c>
      <c r="CJ92" s="14">
        <f t="shared" si="246"/>
        <v>0.51881554595928436</v>
      </c>
      <c r="CK92" s="14">
        <f t="shared" si="247"/>
        <v>0.51881554595928436</v>
      </c>
      <c r="CL92" s="14">
        <f t="shared" si="248"/>
        <v>0.51881554595928436</v>
      </c>
      <c r="CM92" s="14">
        <f t="shared" si="249"/>
        <v>0.51881554595928436</v>
      </c>
      <c r="CN92" s="14">
        <f t="shared" si="250"/>
        <v>0.51881554595928436</v>
      </c>
      <c r="CO92" s="14">
        <f t="shared" si="251"/>
        <v>0.51881554595928436</v>
      </c>
      <c r="CP92" s="14">
        <f t="shared" si="200"/>
        <v>0.51881554595928436</v>
      </c>
      <c r="CQ92" s="14">
        <f t="shared" si="201"/>
        <v>0.51881554595928436</v>
      </c>
      <c r="CR92" s="14">
        <f t="shared" si="202"/>
        <v>0.51881554595928436</v>
      </c>
      <c r="CS92" s="14">
        <f t="shared" si="203"/>
        <v>0.51881554595928436</v>
      </c>
      <c r="CT92" s="14">
        <f t="shared" si="204"/>
        <v>0.51881554595928436</v>
      </c>
      <c r="CU92" s="14">
        <f t="shared" si="205"/>
        <v>0.51881554595928436</v>
      </c>
      <c r="CW92" s="20"/>
      <c r="CX92" s="14">
        <f t="shared" ref="CX92" si="253">($C$22*CX93-AL92)/($C$21-$C$22*BR93)</f>
        <v>144.3553362122147</v>
      </c>
      <c r="CY92" s="14">
        <f t="shared" si="134"/>
        <v>134.54031948228405</v>
      </c>
      <c r="CZ92" s="14">
        <f t="shared" si="135"/>
        <v>124.81468672195567</v>
      </c>
      <c r="DA92" s="14">
        <f t="shared" si="136"/>
        <v>115.26605131302448</v>
      </c>
      <c r="DB92" s="14">
        <f t="shared" si="137"/>
        <v>105.97855115428352</v>
      </c>
      <c r="DC92" s="14">
        <f t="shared" si="138"/>
        <v>97.031271076057237</v>
      </c>
      <c r="DD92" s="14">
        <f t="shared" si="139"/>
        <v>88.496846366250253</v>
      </c>
      <c r="DE92" s="14">
        <f t="shared" si="140"/>
        <v>80.440290293099523</v>
      </c>
      <c r="DF92" s="14">
        <f t="shared" si="141"/>
        <v>72.918075371427022</v>
      </c>
      <c r="DG92" s="14">
        <f t="shared" si="142"/>
        <v>65.977483795149013</v>
      </c>
      <c r="DH92" s="14">
        <f t="shared" si="143"/>
        <v>59.656228044434094</v>
      </c>
      <c r="DI92" s="14">
        <f t="shared" si="144"/>
        <v>53.982329225479212</v>
      </c>
      <c r="DJ92" s="14">
        <f t="shared" si="145"/>
        <v>48.974229134875522</v>
      </c>
      <c r="DK92" s="14">
        <f t="shared" si="146"/>
        <v>44.641103069704393</v>
      </c>
      <c r="DL92" s="14">
        <f t="shared" si="147"/>
        <v>40.983334477582403</v>
      </c>
      <c r="DM92" s="14">
        <f t="shared" si="148"/>
        <v>37.993109820236015</v>
      </c>
      <c r="DN92" s="14">
        <f t="shared" si="149"/>
        <v>35.655092390330722</v>
      </c>
      <c r="DO92" s="14">
        <f t="shared" si="150"/>
        <v>33.94713690414239</v>
      </c>
      <c r="DP92" s="14">
        <f t="shared" si="151"/>
        <v>32.841011925006569</v>
      </c>
      <c r="DQ92" s="14">
        <f t="shared" si="152"/>
        <v>32.303103858721762</v>
      </c>
      <c r="DR92" s="14">
        <f t="shared" si="153"/>
        <v>32.295083654637097</v>
      </c>
      <c r="DS92" s="14">
        <f t="shared" si="154"/>
        <v>32.774524721311465</v>
      </c>
      <c r="DT92" s="14">
        <f t="shared" si="155"/>
        <v>33.695467291351548</v>
      </c>
      <c r="DU92" s="14">
        <f t="shared" si="156"/>
        <v>35.008930059456567</v>
      </c>
      <c r="DV92" s="14">
        <f t="shared" si="157"/>
        <v>36.663374063880369</v>
      </c>
      <c r="DW92" s="14">
        <f t="shared" si="158"/>
        <v>38.605126371111808</v>
      </c>
      <c r="DX92" s="14">
        <f t="shared" si="159"/>
        <v>40.778772229231727</v>
      </c>
      <c r="DY92" s="14">
        <f t="shared" si="160"/>
        <v>43.127524208981598</v>
      </c>
      <c r="DZ92" s="14">
        <f t="shared" si="161"/>
        <v>45.593575801812243</v>
      </c>
      <c r="EA92" s="14">
        <f t="shared" si="162"/>
        <v>48.118445404071565</v>
      </c>
    </row>
    <row r="93" spans="5:131" x14ac:dyDescent="0.25">
      <c r="E93" s="25"/>
      <c r="F93" s="6">
        <f t="shared" si="163"/>
        <v>300</v>
      </c>
      <c r="G93" s="6">
        <f t="shared" si="164"/>
        <v>279.60238189843903</v>
      </c>
      <c r="H93" s="6">
        <f t="shared" si="165"/>
        <v>259.39052202088476</v>
      </c>
      <c r="I93" s="6">
        <f t="shared" si="166"/>
        <v>239.5464989466829</v>
      </c>
      <c r="J93" s="6">
        <f t="shared" si="167"/>
        <v>220.2451684885815</v>
      </c>
      <c r="K93" s="6">
        <f t="shared" si="168"/>
        <v>201.65088514652408</v>
      </c>
      <c r="L93" s="6">
        <f t="shared" si="169"/>
        <v>183.91459994832263</v>
      </c>
      <c r="M93" s="6">
        <f t="shared" si="170"/>
        <v>167.1714238014286</v>
      </c>
      <c r="N93" s="6">
        <f t="shared" si="171"/>
        <v>151.5387181757477</v>
      </c>
      <c r="O93" s="6">
        <f t="shared" si="172"/>
        <v>137.11474516914942</v>
      </c>
      <c r="P93" s="6">
        <f t="shared" si="173"/>
        <v>123.9778790513175</v>
      </c>
      <c r="Q93" s="6">
        <f t="shared" si="174"/>
        <v>112.18635342884846</v>
      </c>
      <c r="R93" s="6">
        <f t="shared" si="175"/>
        <v>101.7784941379913</v>
      </c>
      <c r="S93" s="6">
        <f t="shared" si="176"/>
        <v>92.773369328193354</v>
      </c>
      <c r="T93" s="6">
        <f t="shared" si="177"/>
        <v>85.171775882257791</v>
      </c>
      <c r="U93" s="6">
        <f t="shared" si="178"/>
        <v>78.957475664875091</v>
      </c>
      <c r="V93" s="6">
        <f t="shared" si="179"/>
        <v>74.098595852212938</v>
      </c>
      <c r="W93" s="6">
        <f t="shared" si="180"/>
        <v>70.549114002070269</v>
      </c>
      <c r="X93" s="6">
        <f t="shared" si="181"/>
        <v>68.250359397994416</v>
      </c>
      <c r="Y93" s="6">
        <f t="shared" si="182"/>
        <v>67.132476096138419</v>
      </c>
      <c r="Z93" s="6">
        <f t="shared" si="183"/>
        <v>67.115808466880424</v>
      </c>
      <c r="AA93" s="6">
        <f t="shared" si="184"/>
        <v>68.112185350315229</v>
      </c>
      <c r="AB93" s="6">
        <f t="shared" si="185"/>
        <v>70.026092922154959</v>
      </c>
      <c r="AC93" s="6">
        <f t="shared" si="186"/>
        <v>72.755737982537283</v>
      </c>
      <c r="AD93" s="6">
        <f t="shared" si="187"/>
        <v>76.194011996859075</v>
      </c>
      <c r="AE93" s="6">
        <f t="shared" si="188"/>
        <v>80.229371599451582</v>
      </c>
      <c r="AF93" s="6">
        <f t="shared" si="189"/>
        <v>84.746653568698235</v>
      </c>
      <c r="AG93" s="6">
        <f t="shared" si="190"/>
        <v>89.627841977896367</v>
      </c>
      <c r="AH93" s="6">
        <f t="shared" si="252"/>
        <v>94.752803044535426</v>
      </c>
      <c r="AI93" s="6">
        <f t="shared" si="252"/>
        <v>100</v>
      </c>
      <c r="AK93" s="21"/>
      <c r="AL93" s="16">
        <f t="shared" si="192"/>
        <v>-1076400000</v>
      </c>
      <c r="AM93" s="16">
        <f t="shared" si="206"/>
        <v>-1003213346.2515991</v>
      </c>
      <c r="AN93" s="16">
        <f t="shared" si="207"/>
        <v>-930693193.01093447</v>
      </c>
      <c r="AO93" s="16">
        <f t="shared" si="208"/>
        <v>-859492838.22069824</v>
      </c>
      <c r="AP93" s="16">
        <f t="shared" si="209"/>
        <v>-790239664.53703046</v>
      </c>
      <c r="AQ93" s="16">
        <f t="shared" si="210"/>
        <v>-723523375.90572834</v>
      </c>
      <c r="AR93" s="16">
        <f t="shared" si="211"/>
        <v>-659885584.61458158</v>
      </c>
      <c r="AS93" s="16">
        <f t="shared" si="212"/>
        <v>-599811068.59952581</v>
      </c>
      <c r="AT93" s="16">
        <f t="shared" si="213"/>
        <v>-543720920.81458271</v>
      </c>
      <c r="AU93" s="16">
        <f t="shared" si="214"/>
        <v>-491967705.66690803</v>
      </c>
      <c r="AV93" s="16">
        <f t="shared" si="215"/>
        <v>-444832630.03612721</v>
      </c>
      <c r="AW93" s="16">
        <f t="shared" si="216"/>
        <v>-402524636.10270822</v>
      </c>
      <c r="AX93" s="16">
        <f t="shared" si="217"/>
        <v>-365181236.96711278</v>
      </c>
      <c r="AY93" s="16">
        <f t="shared" si="218"/>
        <v>-332870849.14955771</v>
      </c>
      <c r="AZ93" s="16">
        <f t="shared" si="219"/>
        <v>-305596331.86554092</v>
      </c>
      <c r="BA93" s="16">
        <f t="shared" si="220"/>
        <v>-283299422.68557185</v>
      </c>
      <c r="BB93" s="16">
        <f t="shared" si="221"/>
        <v>-265865761.91774002</v>
      </c>
      <c r="BC93" s="16">
        <f t="shared" si="222"/>
        <v>-253130221.03942811</v>
      </c>
      <c r="BD93" s="16">
        <f t="shared" si="223"/>
        <v>-244882289.52000397</v>
      </c>
      <c r="BE93" s="16">
        <f t="shared" si="224"/>
        <v>-240871324.23294464</v>
      </c>
      <c r="BF93" s="16">
        <f t="shared" si="225"/>
        <v>-240811520.77916697</v>
      </c>
      <c r="BG93" s="16">
        <f t="shared" si="226"/>
        <v>-244386521.03693104</v>
      </c>
      <c r="BH93" s="16">
        <f t="shared" si="227"/>
        <v>-251253621.40469193</v>
      </c>
      <c r="BI93" s="16">
        <f t="shared" si="228"/>
        <v>-261047587.88134378</v>
      </c>
      <c r="BJ93" s="16">
        <f t="shared" si="194"/>
        <v>-273384115.04473031</v>
      </c>
      <c r="BK93" s="16">
        <f t="shared" si="195"/>
        <v>-287862985.2988323</v>
      </c>
      <c r="BL93" s="16">
        <f t="shared" si="196"/>
        <v>-304070993.00448924</v>
      </c>
      <c r="BM93" s="16">
        <f t="shared" si="197"/>
        <v>-321584697.01669216</v>
      </c>
      <c r="BN93" s="16">
        <f t="shared" si="198"/>
        <v>-339973057.32379311</v>
      </c>
      <c r="BO93" s="16">
        <f t="shared" si="199"/>
        <v>-358800000</v>
      </c>
      <c r="BQ93" s="20"/>
      <c r="BR93" s="14">
        <v>1</v>
      </c>
      <c r="BS93" s="14">
        <v>1</v>
      </c>
      <c r="BT93" s="14">
        <v>1</v>
      </c>
      <c r="BU93" s="14">
        <v>1</v>
      </c>
      <c r="BV93" s="14">
        <v>1</v>
      </c>
      <c r="BW93" s="14">
        <v>1</v>
      </c>
      <c r="BX93" s="14">
        <v>1</v>
      </c>
      <c r="BY93" s="14">
        <v>1</v>
      </c>
      <c r="BZ93" s="14">
        <v>1</v>
      </c>
      <c r="CA93" s="14">
        <v>1</v>
      </c>
      <c r="CB93" s="14">
        <v>1</v>
      </c>
      <c r="CC93" s="14">
        <v>1</v>
      </c>
      <c r="CD93" s="14">
        <v>1</v>
      </c>
      <c r="CE93" s="14">
        <v>1</v>
      </c>
      <c r="CF93" s="14">
        <v>1</v>
      </c>
      <c r="CG93" s="14">
        <v>1</v>
      </c>
      <c r="CH93" s="14">
        <v>1</v>
      </c>
      <c r="CI93" s="14">
        <v>1</v>
      </c>
      <c r="CJ93" s="14">
        <v>1</v>
      </c>
      <c r="CK93" s="14">
        <v>1</v>
      </c>
      <c r="CL93" s="14">
        <v>1</v>
      </c>
      <c r="CM93" s="14">
        <v>1</v>
      </c>
      <c r="CN93" s="14">
        <v>1</v>
      </c>
      <c r="CO93" s="14">
        <v>1</v>
      </c>
      <c r="CP93" s="14">
        <v>1</v>
      </c>
      <c r="CQ93" s="14">
        <v>1</v>
      </c>
      <c r="CR93" s="14">
        <v>1</v>
      </c>
      <c r="CS93" s="14">
        <v>1</v>
      </c>
      <c r="CT93" s="14">
        <v>1</v>
      </c>
      <c r="CU93" s="14">
        <v>1</v>
      </c>
      <c r="CW93" s="20"/>
      <c r="CX93" s="8">
        <v>0</v>
      </c>
      <c r="CY93" s="8">
        <v>0</v>
      </c>
      <c r="CZ93" s="8">
        <v>0</v>
      </c>
      <c r="DA93" s="8">
        <v>0</v>
      </c>
      <c r="DB93" s="8">
        <v>0</v>
      </c>
      <c r="DC93" s="8">
        <v>0</v>
      </c>
      <c r="DD93" s="8">
        <v>0</v>
      </c>
      <c r="DE93" s="8">
        <v>0</v>
      </c>
      <c r="DF93" s="8">
        <v>0</v>
      </c>
      <c r="DG93" s="8">
        <v>0</v>
      </c>
      <c r="DH93" s="8">
        <v>0</v>
      </c>
      <c r="DI93" s="8">
        <v>0</v>
      </c>
      <c r="DJ93" s="8">
        <v>0</v>
      </c>
      <c r="DK93" s="8">
        <v>0</v>
      </c>
      <c r="DL93" s="8">
        <v>0</v>
      </c>
      <c r="DM93" s="8">
        <v>0</v>
      </c>
      <c r="DN93" s="8">
        <v>0</v>
      </c>
      <c r="DO93" s="8">
        <v>0</v>
      </c>
      <c r="DP93" s="8">
        <v>0</v>
      </c>
      <c r="DQ93" s="8">
        <v>0</v>
      </c>
      <c r="DR93" s="8">
        <v>0</v>
      </c>
      <c r="DS93" s="8">
        <v>0</v>
      </c>
      <c r="DT93" s="8">
        <v>0</v>
      </c>
      <c r="DU93" s="8">
        <v>0</v>
      </c>
      <c r="DV93" s="8">
        <v>0</v>
      </c>
      <c r="DW93" s="8">
        <v>0</v>
      </c>
      <c r="DX93" s="8">
        <v>0</v>
      </c>
      <c r="DY93" s="8">
        <v>0</v>
      </c>
      <c r="DZ93" s="8">
        <v>0</v>
      </c>
      <c r="EA93" s="8">
        <v>0</v>
      </c>
    </row>
    <row r="94" spans="5:131" x14ac:dyDescent="0.25">
      <c r="E94" s="26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K94" s="2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  <c r="AX94" s="17"/>
      <c r="AY94" s="17"/>
      <c r="AZ94" s="17"/>
      <c r="BA94" s="17"/>
      <c r="BB94" s="17"/>
      <c r="BC94" s="17"/>
      <c r="BD94" s="17"/>
      <c r="BE94" s="17"/>
      <c r="BF94" s="17"/>
      <c r="BG94" s="17"/>
      <c r="BH94" s="17"/>
      <c r="BI94" s="17"/>
      <c r="BJ94" s="17"/>
      <c r="BK94" s="17"/>
      <c r="BL94" s="17"/>
      <c r="BM94" s="17"/>
      <c r="BN94" s="17"/>
      <c r="BO94" s="17"/>
      <c r="BQ94" s="28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W94" s="28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</row>
  </sheetData>
  <mergeCells count="8">
    <mergeCell ref="AK33:AK62"/>
    <mergeCell ref="E33:E62"/>
    <mergeCell ref="BQ33:BQ62"/>
    <mergeCell ref="CW33:CW62"/>
    <mergeCell ref="E64:E94"/>
    <mergeCell ref="AK64:AK94"/>
    <mergeCell ref="BQ64:BQ94"/>
    <mergeCell ref="CW64:CW94"/>
  </mergeCells>
  <conditionalFormatting sqref="F2:AI31">
    <cfRule type="colorScale" priority="2">
      <colorScale>
        <cfvo type="min"/>
        <cfvo type="percentile" val="50"/>
        <cfvo type="max"/>
        <color rgb="FFF8696B"/>
        <color rgb="FFFFEB84"/>
        <color theme="4"/>
      </colorScale>
    </cfRule>
    <cfRule type="colorScale" priority="1">
      <colorScale>
        <cfvo type="min"/>
        <cfvo type="percentile" val="50"/>
        <cfvo type="max"/>
        <color theme="4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Неявный вид 2D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Данила Дедушев</dc:creator>
  <cp:lastModifiedBy>Данила Дедушев</cp:lastModifiedBy>
  <dcterms:created xsi:type="dcterms:W3CDTF">2021-09-15T09:15:42Z</dcterms:created>
  <dcterms:modified xsi:type="dcterms:W3CDTF">2021-11-04T16:42:41Z</dcterms:modified>
</cp:coreProperties>
</file>