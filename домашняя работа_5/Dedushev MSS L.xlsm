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edus\OneDrive\Рабочий стол\"/>
    </mc:Choice>
  </mc:AlternateContent>
  <bookViews>
    <workbookView xWindow="0" yWindow="0" windowWidth="28800" windowHeight="1248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18" i="1" l="1"/>
  <c r="AQ18" i="1" s="1"/>
  <c r="AR18" i="1" s="1"/>
  <c r="AS18" i="1" s="1"/>
  <c r="AT18" i="1" s="1"/>
  <c r="AU18" i="1" s="1"/>
  <c r="AV18" i="1" s="1"/>
  <c r="AW18" i="1" s="1"/>
  <c r="AX18" i="1" s="1"/>
  <c r="AY18" i="1" s="1"/>
  <c r="AZ18" i="1" s="1"/>
  <c r="BA18" i="1" s="1"/>
  <c r="BB18" i="1" s="1"/>
  <c r="AO18" i="1"/>
  <c r="AO16" i="1"/>
  <c r="AP16" i="1" s="1"/>
  <c r="AQ16" i="1" s="1"/>
  <c r="AR16" i="1" s="1"/>
  <c r="AS16" i="1" s="1"/>
  <c r="AT16" i="1" s="1"/>
  <c r="AU16" i="1" s="1"/>
  <c r="AV16" i="1" s="1"/>
  <c r="AW16" i="1" s="1"/>
  <c r="AX16" i="1" s="1"/>
  <c r="AY16" i="1" s="1"/>
  <c r="AZ16" i="1" s="1"/>
  <c r="BA16" i="1" s="1"/>
  <c r="BB16" i="1" s="1"/>
  <c r="BC16" i="1" s="1"/>
  <c r="BD16" i="1" s="1"/>
  <c r="BE16" i="1" s="1"/>
  <c r="BF16" i="1" s="1"/>
  <c r="X23" i="1"/>
  <c r="Y21" i="1"/>
  <c r="AC21" i="1"/>
  <c r="AG21" i="1"/>
  <c r="AK21" i="1"/>
  <c r="AD20" i="1"/>
  <c r="AA19" i="1"/>
  <c r="AE19" i="1"/>
  <c r="AI19" i="1"/>
  <c r="X19" i="1"/>
  <c r="Y18" i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AJ18" i="1" s="1"/>
  <c r="AK18" i="1" s="1"/>
  <c r="AL18" i="1" s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X16" i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AI16" i="1" s="1"/>
  <c r="AJ16" i="1" s="1"/>
  <c r="AK16" i="1" s="1"/>
  <c r="AL16" i="1" s="1"/>
  <c r="X12" i="1"/>
  <c r="X13" i="1" s="1"/>
  <c r="AH10" i="1"/>
  <c r="AL10" i="1"/>
  <c r="AF10" i="1"/>
  <c r="Y10" i="1"/>
  <c r="X10" i="1"/>
  <c r="AK9" i="1"/>
  <c r="AE9" i="1"/>
  <c r="Z9" i="1"/>
  <c r="AH8" i="1"/>
  <c r="AI8" i="1"/>
  <c r="AJ8" i="1"/>
  <c r="AK8" i="1"/>
  <c r="AL8" i="1"/>
  <c r="AG8" i="1"/>
  <c r="AD8" i="1"/>
  <c r="AA8" i="1"/>
  <c r="Y7" i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X6" i="1"/>
  <c r="X5" i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T46" i="1"/>
  <c r="T47" i="1"/>
  <c r="T48" i="1"/>
  <c r="T49" i="1"/>
  <c r="T50" i="1"/>
  <c r="T51" i="1"/>
  <c r="T52" i="1"/>
  <c r="T53" i="1"/>
  <c r="N66" i="1"/>
  <c r="AF11" i="1" s="1"/>
  <c r="K63" i="1"/>
  <c r="AC11" i="1" s="1"/>
  <c r="R66" i="1"/>
  <c r="M62" i="1"/>
  <c r="F62" i="1"/>
  <c r="X11" i="1" s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E66" i="1"/>
  <c r="E65" i="1" s="1"/>
  <c r="E64" i="1" s="1"/>
  <c r="E63" i="1" s="1"/>
  <c r="E62" i="1" s="1"/>
  <c r="E61" i="1" s="1"/>
  <c r="E60" i="1" s="1"/>
  <c r="E59" i="1" s="1"/>
  <c r="E58" i="1" s="1"/>
  <c r="E57" i="1" s="1"/>
  <c r="T44" i="1"/>
  <c r="AL21" i="1" s="1"/>
  <c r="T45" i="1"/>
  <c r="T54" i="1"/>
  <c r="O54" i="1"/>
  <c r="AG10" i="1" s="1"/>
  <c r="P54" i="1"/>
  <c r="Q54" i="1"/>
  <c r="AI10" i="1" s="1"/>
  <c r="R54" i="1"/>
  <c r="AJ10" i="1" s="1"/>
  <c r="S54" i="1"/>
  <c r="AK10" i="1" s="1"/>
  <c r="N53" i="1"/>
  <c r="M52" i="1"/>
  <c r="AE10" i="1" s="1"/>
  <c r="L51" i="1"/>
  <c r="AD10" i="1" s="1"/>
  <c r="J49" i="1"/>
  <c r="K50" i="1"/>
  <c r="AC10" i="1" s="1"/>
  <c r="G49" i="1"/>
  <c r="H49" i="1"/>
  <c r="Z10" i="1" s="1"/>
  <c r="I49" i="1"/>
  <c r="AA10" i="1" s="1"/>
  <c r="F46" i="1"/>
  <c r="F47" i="1"/>
  <c r="F48" i="1"/>
  <c r="F45" i="1"/>
  <c r="F49" i="1"/>
  <c r="G44" i="1"/>
  <c r="H44" i="1"/>
  <c r="Z21" i="1" s="1"/>
  <c r="I44" i="1"/>
  <c r="AA21" i="1" s="1"/>
  <c r="J44" i="1"/>
  <c r="AB21" i="1" s="1"/>
  <c r="K44" i="1"/>
  <c r="L44" i="1"/>
  <c r="AD21" i="1" s="1"/>
  <c r="M44" i="1"/>
  <c r="AE21" i="1" s="1"/>
  <c r="N44" i="1"/>
  <c r="AF21" i="1" s="1"/>
  <c r="O44" i="1"/>
  <c r="P44" i="1"/>
  <c r="AH21" i="1" s="1"/>
  <c r="Q44" i="1"/>
  <c r="AI21" i="1" s="1"/>
  <c r="R44" i="1"/>
  <c r="AJ21" i="1" s="1"/>
  <c r="S44" i="1"/>
  <c r="F44" i="1"/>
  <c r="X21" i="1" s="1"/>
  <c r="P48" i="1"/>
  <c r="Q48" i="1"/>
  <c r="R48" i="1"/>
  <c r="S48" i="1"/>
  <c r="P49" i="1"/>
  <c r="Q49" i="1"/>
  <c r="R49" i="1"/>
  <c r="S49" i="1"/>
  <c r="P50" i="1"/>
  <c r="Q50" i="1"/>
  <c r="R50" i="1"/>
  <c r="S50" i="1"/>
  <c r="P51" i="1"/>
  <c r="P64" i="1" s="1"/>
  <c r="Q51" i="1"/>
  <c r="R51" i="1"/>
  <c r="S51" i="1"/>
  <c r="P52" i="1"/>
  <c r="Q52" i="1"/>
  <c r="R52" i="1"/>
  <c r="S52" i="1"/>
  <c r="P53" i="1"/>
  <c r="Q53" i="1"/>
  <c r="R53" i="1"/>
  <c r="S53" i="1"/>
  <c r="O49" i="1"/>
  <c r="O50" i="1"/>
  <c r="O51" i="1"/>
  <c r="O52" i="1"/>
  <c r="O53" i="1"/>
  <c r="N49" i="1"/>
  <c r="N50" i="1"/>
  <c r="N51" i="1"/>
  <c r="N52" i="1"/>
  <c r="M49" i="1"/>
  <c r="M50" i="1"/>
  <c r="M51" i="1"/>
  <c r="L49" i="1"/>
  <c r="L50" i="1"/>
  <c r="K49" i="1"/>
  <c r="H45" i="1"/>
  <c r="I45" i="1"/>
  <c r="J45" i="1"/>
  <c r="K45" i="1"/>
  <c r="L45" i="1"/>
  <c r="M45" i="1"/>
  <c r="N45" i="1"/>
  <c r="O45" i="1"/>
  <c r="P45" i="1"/>
  <c r="Q45" i="1"/>
  <c r="R45" i="1"/>
  <c r="S45" i="1"/>
  <c r="H46" i="1"/>
  <c r="I46" i="1"/>
  <c r="J46" i="1"/>
  <c r="K46" i="1"/>
  <c r="L46" i="1"/>
  <c r="M46" i="1"/>
  <c r="N46" i="1"/>
  <c r="O46" i="1"/>
  <c r="P46" i="1"/>
  <c r="Q46" i="1"/>
  <c r="R46" i="1"/>
  <c r="S46" i="1"/>
  <c r="H47" i="1"/>
  <c r="I47" i="1"/>
  <c r="J47" i="1"/>
  <c r="K47" i="1"/>
  <c r="L47" i="1"/>
  <c r="M47" i="1"/>
  <c r="N47" i="1"/>
  <c r="O47" i="1"/>
  <c r="P47" i="1"/>
  <c r="Q47" i="1"/>
  <c r="R47" i="1"/>
  <c r="S47" i="1"/>
  <c r="H48" i="1"/>
  <c r="I48" i="1"/>
  <c r="J48" i="1"/>
  <c r="K48" i="1"/>
  <c r="L48" i="1"/>
  <c r="M48" i="1"/>
  <c r="N48" i="1"/>
  <c r="O48" i="1"/>
  <c r="G45" i="1"/>
  <c r="G46" i="1"/>
  <c r="G47" i="1"/>
  <c r="G48" i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E53" i="1"/>
  <c r="E52" i="1" s="1"/>
  <c r="E51" i="1" s="1"/>
  <c r="E50" i="1" s="1"/>
  <c r="E49" i="1" s="1"/>
  <c r="E48" i="1" s="1"/>
  <c r="E47" i="1" s="1"/>
  <c r="E46" i="1" s="1"/>
  <c r="E45" i="1" s="1"/>
  <c r="E44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E40" i="1"/>
  <c r="E39" i="1" s="1"/>
  <c r="E38" i="1" s="1"/>
  <c r="E37" i="1" s="1"/>
  <c r="E36" i="1" s="1"/>
  <c r="E35" i="1" s="1"/>
  <c r="E34" i="1" s="1"/>
  <c r="E33" i="1" s="1"/>
  <c r="E32" i="1" s="1"/>
  <c r="E31" i="1" s="1"/>
  <c r="U14" i="1"/>
  <c r="U13" i="1" s="1"/>
  <c r="U12" i="1" s="1"/>
  <c r="U11" i="1" s="1"/>
  <c r="U10" i="1" s="1"/>
  <c r="U9" i="1" s="1"/>
  <c r="U8" i="1" s="1"/>
  <c r="U7" i="1" s="1"/>
  <c r="U6" i="1" s="1"/>
  <c r="U5" i="1" s="1"/>
  <c r="S10" i="1"/>
  <c r="S37" i="1" s="1"/>
  <c r="S63" i="1" s="1"/>
  <c r="S11" i="1"/>
  <c r="S38" i="1" s="1"/>
  <c r="S64" i="1" s="1"/>
  <c r="S12" i="1"/>
  <c r="S13" i="1"/>
  <c r="S40" i="1" s="1"/>
  <c r="S66" i="1" s="1"/>
  <c r="S14" i="1"/>
  <c r="S41" i="1" s="1"/>
  <c r="S67" i="1" s="1"/>
  <c r="AK11" i="1" s="1"/>
  <c r="R10" i="1"/>
  <c r="R37" i="1" s="1"/>
  <c r="R63" i="1" s="1"/>
  <c r="R11" i="1"/>
  <c r="R12" i="1"/>
  <c r="R13" i="1"/>
  <c r="R40" i="1" s="1"/>
  <c r="R14" i="1"/>
  <c r="R41" i="1" s="1"/>
  <c r="Q10" i="1"/>
  <c r="Q11" i="1"/>
  <c r="Q12" i="1"/>
  <c r="Q39" i="1" s="1"/>
  <c r="Q65" i="1" s="1"/>
  <c r="Q13" i="1"/>
  <c r="Q40" i="1" s="1"/>
  <c r="Q66" i="1" s="1"/>
  <c r="Q14" i="1"/>
  <c r="Q41" i="1" s="1"/>
  <c r="AI9" i="1" s="1"/>
  <c r="P10" i="1"/>
  <c r="P11" i="1"/>
  <c r="P38" i="1" s="1"/>
  <c r="P12" i="1"/>
  <c r="P39" i="1" s="1"/>
  <c r="P13" i="1"/>
  <c r="P40" i="1" s="1"/>
  <c r="P14" i="1"/>
  <c r="P41" i="1" s="1"/>
  <c r="AH9" i="1" s="1"/>
  <c r="O10" i="1"/>
  <c r="O11" i="1"/>
  <c r="O38" i="1" s="1"/>
  <c r="O64" i="1" s="1"/>
  <c r="O12" i="1"/>
  <c r="O13" i="1"/>
  <c r="O40" i="1" s="1"/>
  <c r="O14" i="1"/>
  <c r="O41" i="1" s="1"/>
  <c r="AG9" i="1" s="1"/>
  <c r="N10" i="1"/>
  <c r="N37" i="1" s="1"/>
  <c r="N63" i="1" s="1"/>
  <c r="N11" i="1"/>
  <c r="N12" i="1"/>
  <c r="N39" i="1" s="1"/>
  <c r="N13" i="1"/>
  <c r="N40" i="1" s="1"/>
  <c r="AF9" i="1" s="1"/>
  <c r="M10" i="1"/>
  <c r="M37" i="1" s="1"/>
  <c r="M63" i="1" s="1"/>
  <c r="M11" i="1"/>
  <c r="M38" i="1" s="1"/>
  <c r="M64" i="1" s="1"/>
  <c r="M12" i="1"/>
  <c r="M39" i="1" s="1"/>
  <c r="M65" i="1" s="1"/>
  <c r="AE11" i="1" s="1"/>
  <c r="L10" i="1"/>
  <c r="L37" i="1" s="1"/>
  <c r="L63" i="1" s="1"/>
  <c r="L11" i="1"/>
  <c r="L38" i="1" s="1"/>
  <c r="K10" i="1"/>
  <c r="K37" i="1" s="1"/>
  <c r="AC9" i="1" s="1"/>
  <c r="G7" i="1"/>
  <c r="H7" i="1"/>
  <c r="H32" i="1" s="1"/>
  <c r="H58" i="1" s="1"/>
  <c r="I7" i="1"/>
  <c r="I32" i="1" s="1"/>
  <c r="I58" i="1" s="1"/>
  <c r="J7" i="1"/>
  <c r="K7" i="1"/>
  <c r="K32" i="1" s="1"/>
  <c r="K58" i="1" s="1"/>
  <c r="L7" i="1"/>
  <c r="L32" i="1" s="1"/>
  <c r="L58" i="1" s="1"/>
  <c r="M7" i="1"/>
  <c r="M32" i="1" s="1"/>
  <c r="M58" i="1" s="1"/>
  <c r="N7" i="1"/>
  <c r="O7" i="1"/>
  <c r="P7" i="1"/>
  <c r="P32" i="1" s="1"/>
  <c r="P58" i="1" s="1"/>
  <c r="Q7" i="1"/>
  <c r="Q32" i="1" s="1"/>
  <c r="Q58" i="1" s="1"/>
  <c r="R7" i="1"/>
  <c r="S7" i="1"/>
  <c r="S32" i="1" s="1"/>
  <c r="S58" i="1" s="1"/>
  <c r="G8" i="1"/>
  <c r="G35" i="1" s="1"/>
  <c r="G61" i="1" s="1"/>
  <c r="H8" i="1"/>
  <c r="H35" i="1" s="1"/>
  <c r="H61" i="1" s="1"/>
  <c r="I8" i="1"/>
  <c r="I35" i="1" s="1"/>
  <c r="J8" i="1"/>
  <c r="J35" i="1" s="1"/>
  <c r="J61" i="1" s="1"/>
  <c r="K8" i="1"/>
  <c r="K35" i="1" s="1"/>
  <c r="K61" i="1" s="1"/>
  <c r="L8" i="1"/>
  <c r="L35" i="1" s="1"/>
  <c r="L61" i="1" s="1"/>
  <c r="M8" i="1"/>
  <c r="N8" i="1"/>
  <c r="O8" i="1"/>
  <c r="O35" i="1" s="1"/>
  <c r="O61" i="1" s="1"/>
  <c r="P8" i="1"/>
  <c r="P35" i="1" s="1"/>
  <c r="P61" i="1" s="1"/>
  <c r="Q8" i="1"/>
  <c r="Q35" i="1" s="1"/>
  <c r="Q61" i="1" s="1"/>
  <c r="R8" i="1"/>
  <c r="S8" i="1"/>
  <c r="S35" i="1" s="1"/>
  <c r="S61" i="1" s="1"/>
  <c r="G9" i="1"/>
  <c r="G36" i="1" s="1"/>
  <c r="H9" i="1"/>
  <c r="H36" i="1" s="1"/>
  <c r="H62" i="1" s="1"/>
  <c r="Z11" i="1" s="1"/>
  <c r="I9" i="1"/>
  <c r="J9" i="1"/>
  <c r="J36" i="1" s="1"/>
  <c r="AB9" i="1" s="1"/>
  <c r="K9" i="1"/>
  <c r="K36" i="1" s="1"/>
  <c r="K62" i="1" s="1"/>
  <c r="L9" i="1"/>
  <c r="L34" i="1" s="1"/>
  <c r="L60" i="1" s="1"/>
  <c r="M9" i="1"/>
  <c r="M36" i="1" s="1"/>
  <c r="N9" i="1"/>
  <c r="O9" i="1"/>
  <c r="O36" i="1" s="1"/>
  <c r="O62" i="1" s="1"/>
  <c r="P9" i="1"/>
  <c r="P36" i="1" s="1"/>
  <c r="Q9" i="1"/>
  <c r="R9" i="1"/>
  <c r="R36" i="1" s="1"/>
  <c r="R62" i="1" s="1"/>
  <c r="S9" i="1"/>
  <c r="S36" i="1" s="1"/>
  <c r="S62" i="1" s="1"/>
  <c r="H6" i="1"/>
  <c r="I6" i="1"/>
  <c r="I33" i="1" s="1"/>
  <c r="J6" i="1"/>
  <c r="K6" i="1"/>
  <c r="K33" i="1" s="1"/>
  <c r="K59" i="1" s="1"/>
  <c r="L6" i="1"/>
  <c r="L31" i="1" s="1"/>
  <c r="L57" i="1" s="1"/>
  <c r="AD22" i="1" s="1"/>
  <c r="M6" i="1"/>
  <c r="M33" i="1" s="1"/>
  <c r="N6" i="1"/>
  <c r="O6" i="1"/>
  <c r="O33" i="1" s="1"/>
  <c r="O59" i="1" s="1"/>
  <c r="P6" i="1"/>
  <c r="Q6" i="1"/>
  <c r="Q33" i="1" s="1"/>
  <c r="R6" i="1"/>
  <c r="S6" i="1"/>
  <c r="S33" i="1" s="1"/>
  <c r="S59" i="1" s="1"/>
  <c r="G6" i="1"/>
  <c r="G33" i="1" s="1"/>
  <c r="F9" i="1"/>
  <c r="F36" i="1" s="1"/>
  <c r="X9" i="1" s="1"/>
  <c r="G29" i="1"/>
  <c r="H29" i="1" s="1"/>
  <c r="I29" i="1" s="1"/>
  <c r="J29" i="1" s="1"/>
  <c r="K29" i="1" s="1"/>
  <c r="L29" i="1" s="1"/>
  <c r="M29" i="1" s="1"/>
  <c r="N29" i="1" s="1"/>
  <c r="O29" i="1" s="1"/>
  <c r="E27" i="1"/>
  <c r="E26" i="1" s="1"/>
  <c r="E25" i="1" s="1"/>
  <c r="E24" i="1" s="1"/>
  <c r="E23" i="1" s="1"/>
  <c r="E22" i="1" s="1"/>
  <c r="E21" i="1" s="1"/>
  <c r="E20" i="1" s="1"/>
  <c r="E19" i="1" s="1"/>
  <c r="E18" i="1" s="1"/>
  <c r="F16" i="1"/>
  <c r="G4" i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E14" i="1"/>
  <c r="E13" i="1" s="1"/>
  <c r="E12" i="1" s="1"/>
  <c r="E11" i="1" s="1"/>
  <c r="E10" i="1" s="1"/>
  <c r="E9" i="1" s="1"/>
  <c r="E8" i="1" s="1"/>
  <c r="E7" i="1" s="1"/>
  <c r="E6" i="1" s="1"/>
  <c r="E5" i="1" s="1"/>
  <c r="B6" i="1" s="1"/>
  <c r="T14" i="1" s="1"/>
  <c r="J62" i="1" l="1"/>
  <c r="AB11" i="1" s="1"/>
  <c r="AB10" i="1"/>
  <c r="Q59" i="1"/>
  <c r="M59" i="1"/>
  <c r="I59" i="1"/>
  <c r="N65" i="1"/>
  <c r="O66" i="1"/>
  <c r="G59" i="1"/>
  <c r="P62" i="1"/>
  <c r="I61" i="1"/>
  <c r="P66" i="1"/>
  <c r="G62" i="1"/>
  <c r="Y11" i="1" s="1"/>
  <c r="Y12" i="1" s="1"/>
  <c r="Y9" i="1"/>
  <c r="AD9" i="1"/>
  <c r="L64" i="1"/>
  <c r="AD11" i="1" s="1"/>
  <c r="P65" i="1"/>
  <c r="R67" i="1"/>
  <c r="AJ11" i="1" s="1"/>
  <c r="AJ9" i="1"/>
  <c r="R33" i="1"/>
  <c r="R59" i="1" s="1"/>
  <c r="N33" i="1"/>
  <c r="N59" i="1" s="1"/>
  <c r="J33" i="1"/>
  <c r="J59" i="1" s="1"/>
  <c r="O67" i="1"/>
  <c r="AG11" i="1" s="1"/>
  <c r="Q67" i="1"/>
  <c r="AI11" i="1" s="1"/>
  <c r="Z8" i="1"/>
  <c r="AE8" i="1"/>
  <c r="AL19" i="1"/>
  <c r="AH19" i="1"/>
  <c r="AD19" i="1"/>
  <c r="Z19" i="1"/>
  <c r="Q38" i="1"/>
  <c r="Q64" i="1" s="1"/>
  <c r="R39" i="1"/>
  <c r="R65" i="1" s="1"/>
  <c r="P67" i="1"/>
  <c r="AH11" i="1" s="1"/>
  <c r="X8" i="1"/>
  <c r="Y8" i="1"/>
  <c r="AF8" i="1"/>
  <c r="AK19" i="1"/>
  <c r="AG19" i="1"/>
  <c r="AC19" i="1"/>
  <c r="Y19" i="1"/>
  <c r="P37" i="1"/>
  <c r="P63" i="1" s="1"/>
  <c r="F8" i="1"/>
  <c r="F7" i="1" s="1"/>
  <c r="F6" i="1" s="1"/>
  <c r="F5" i="1" s="1"/>
  <c r="F32" i="1" s="1"/>
  <c r="F58" i="1" s="1"/>
  <c r="AB8" i="1"/>
  <c r="AC8" i="1"/>
  <c r="AJ19" i="1"/>
  <c r="AF19" i="1"/>
  <c r="AB19" i="1"/>
  <c r="X24" i="1"/>
  <c r="R35" i="1"/>
  <c r="R61" i="1" s="1"/>
  <c r="Q34" i="1"/>
  <c r="Q60" i="1" s="1"/>
  <c r="I34" i="1"/>
  <c r="I60" i="1" s="1"/>
  <c r="N35" i="1"/>
  <c r="N61" i="1" s="1"/>
  <c r="S34" i="1"/>
  <c r="S60" i="1" s="1"/>
  <c r="O34" i="1"/>
  <c r="O60" i="1" s="1"/>
  <c r="K34" i="1"/>
  <c r="K60" i="1" s="1"/>
  <c r="G34" i="1"/>
  <c r="G60" i="1" s="1"/>
  <c r="O32" i="1"/>
  <c r="O58" i="1" s="1"/>
  <c r="G32" i="1"/>
  <c r="G58" i="1" s="1"/>
  <c r="P33" i="1"/>
  <c r="P59" i="1" s="1"/>
  <c r="H33" i="1"/>
  <c r="H59" i="1" s="1"/>
  <c r="M35" i="1"/>
  <c r="M61" i="1" s="1"/>
  <c r="R34" i="1"/>
  <c r="R60" i="1" s="1"/>
  <c r="N34" i="1"/>
  <c r="N60" i="1" s="1"/>
  <c r="J34" i="1"/>
  <c r="J60" i="1" s="1"/>
  <c r="N36" i="1"/>
  <c r="N62" i="1" s="1"/>
  <c r="O37" i="1"/>
  <c r="O63" i="1" s="1"/>
  <c r="Q37" i="1"/>
  <c r="Q63" i="1" s="1"/>
  <c r="R38" i="1"/>
  <c r="R64" i="1" s="1"/>
  <c r="S39" i="1"/>
  <c r="S65" i="1" s="1"/>
  <c r="S31" i="1"/>
  <c r="T41" i="1"/>
  <c r="T13" i="1"/>
  <c r="H31" i="1"/>
  <c r="P34" i="1"/>
  <c r="P60" i="1" s="1"/>
  <c r="H34" i="1"/>
  <c r="H60" i="1" s="1"/>
  <c r="L33" i="1"/>
  <c r="L59" i="1" s="1"/>
  <c r="L36" i="1"/>
  <c r="L62" i="1" s="1"/>
  <c r="F34" i="1"/>
  <c r="F60" i="1" s="1"/>
  <c r="F31" i="1"/>
  <c r="O31" i="1"/>
  <c r="K31" i="1"/>
  <c r="G31" i="1"/>
  <c r="R32" i="1"/>
  <c r="R58" i="1" s="1"/>
  <c r="N32" i="1"/>
  <c r="N58" i="1" s="1"/>
  <c r="J32" i="1"/>
  <c r="J58" i="1" s="1"/>
  <c r="N38" i="1"/>
  <c r="N64" i="1" s="1"/>
  <c r="O39" i="1"/>
  <c r="O65" i="1" s="1"/>
  <c r="F33" i="1"/>
  <c r="F59" i="1" s="1"/>
  <c r="G16" i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P31" i="1"/>
  <c r="R31" i="1"/>
  <c r="N31" i="1"/>
  <c r="J31" i="1"/>
  <c r="Q36" i="1"/>
  <c r="Q62" i="1" s="1"/>
  <c r="I36" i="1"/>
  <c r="P29" i="1"/>
  <c r="Q29" i="1" s="1"/>
  <c r="R29" i="1" s="1"/>
  <c r="S29" i="1" s="1"/>
  <c r="T29" i="1" s="1"/>
  <c r="Q31" i="1"/>
  <c r="M31" i="1"/>
  <c r="I31" i="1"/>
  <c r="M34" i="1"/>
  <c r="M60" i="1" s="1"/>
  <c r="F35" i="1"/>
  <c r="F61" i="1" s="1"/>
  <c r="Y13" i="1" l="1"/>
  <c r="Z12" i="1"/>
  <c r="AI20" i="1"/>
  <c r="Q57" i="1"/>
  <c r="AI22" i="1" s="1"/>
  <c r="J57" i="1"/>
  <c r="AB22" i="1" s="1"/>
  <c r="AB20" i="1"/>
  <c r="K57" i="1"/>
  <c r="AC22" i="1" s="1"/>
  <c r="AC20" i="1"/>
  <c r="Z20" i="1"/>
  <c r="H57" i="1"/>
  <c r="Z22" i="1" s="1"/>
  <c r="N57" i="1"/>
  <c r="AF22" i="1" s="1"/>
  <c r="AF20" i="1"/>
  <c r="O57" i="1"/>
  <c r="AG22" i="1" s="1"/>
  <c r="AG20" i="1"/>
  <c r="AA20" i="1"/>
  <c r="I57" i="1"/>
  <c r="AA22" i="1" s="1"/>
  <c r="AA9" i="1"/>
  <c r="I62" i="1"/>
  <c r="AA11" i="1" s="1"/>
  <c r="R57" i="1"/>
  <c r="AJ22" i="1" s="1"/>
  <c r="AJ20" i="1"/>
  <c r="X20" i="1"/>
  <c r="F57" i="1"/>
  <c r="X22" i="1" s="1"/>
  <c r="AL9" i="1"/>
  <c r="T67" i="1"/>
  <c r="AL11" i="1" s="1"/>
  <c r="AE20" i="1"/>
  <c r="M57" i="1"/>
  <c r="AE22" i="1" s="1"/>
  <c r="AH20" i="1"/>
  <c r="P57" i="1"/>
  <c r="AH22" i="1" s="1"/>
  <c r="G57" i="1"/>
  <c r="Y22" i="1" s="1"/>
  <c r="Y20" i="1"/>
  <c r="S57" i="1"/>
  <c r="AK22" i="1" s="1"/>
  <c r="AK20" i="1"/>
  <c r="T40" i="1"/>
  <c r="T66" i="1" s="1"/>
  <c r="T12" i="1"/>
  <c r="Y23" i="1" l="1"/>
  <c r="AA12" i="1"/>
  <c r="Z13" i="1"/>
  <c r="T11" i="1"/>
  <c r="T39" i="1"/>
  <c r="T65" i="1" s="1"/>
  <c r="Z23" i="1" l="1"/>
  <c r="Y24" i="1"/>
  <c r="AA13" i="1"/>
  <c r="AB12" i="1"/>
  <c r="T10" i="1"/>
  <c r="T38" i="1"/>
  <c r="T64" i="1" s="1"/>
  <c r="Z24" i="1" l="1"/>
  <c r="AA23" i="1"/>
  <c r="AB13" i="1"/>
  <c r="AC12" i="1"/>
  <c r="T9" i="1"/>
  <c r="T37" i="1"/>
  <c r="T63" i="1" s="1"/>
  <c r="AB23" i="1" l="1"/>
  <c r="AA24" i="1"/>
  <c r="AD12" i="1"/>
  <c r="AC13" i="1"/>
  <c r="T8" i="1"/>
  <c r="T36" i="1"/>
  <c r="T62" i="1" s="1"/>
  <c r="AE12" i="1" l="1"/>
  <c r="AD13" i="1"/>
  <c r="AC23" i="1"/>
  <c r="AB24" i="1"/>
  <c r="T7" i="1"/>
  <c r="T35" i="1"/>
  <c r="T61" i="1" s="1"/>
  <c r="AF12" i="1" l="1"/>
  <c r="AE13" i="1"/>
  <c r="AC24" i="1"/>
  <c r="AD23" i="1"/>
  <c r="T6" i="1"/>
  <c r="T34" i="1"/>
  <c r="T60" i="1" s="1"/>
  <c r="AD24" i="1" l="1"/>
  <c r="AE23" i="1"/>
  <c r="AG12" i="1"/>
  <c r="AF13" i="1"/>
  <c r="T5" i="1"/>
  <c r="T33" i="1"/>
  <c r="T59" i="1" s="1"/>
  <c r="AH12" i="1" l="1"/>
  <c r="AG13" i="1"/>
  <c r="AF23" i="1"/>
  <c r="AE24" i="1"/>
  <c r="T32" i="1"/>
  <c r="T58" i="1" s="1"/>
  <c r="T31" i="1"/>
  <c r="AI12" i="1" l="1"/>
  <c r="AH13" i="1"/>
  <c r="AF24" i="1"/>
  <c r="AG23" i="1"/>
  <c r="AL20" i="1"/>
  <c r="T57" i="1"/>
  <c r="AL22" i="1" s="1"/>
  <c r="AH23" i="1" l="1"/>
  <c r="AG24" i="1"/>
  <c r="AI13" i="1"/>
  <c r="AJ12" i="1"/>
  <c r="AK12" i="1" l="1"/>
  <c r="AJ13" i="1"/>
  <c r="AI23" i="1"/>
  <c r="AH24" i="1"/>
  <c r="AJ23" i="1" l="1"/>
  <c r="AI24" i="1"/>
  <c r="AL12" i="1"/>
  <c r="AL13" i="1" s="1"/>
  <c r="AK13" i="1"/>
  <c r="AK23" i="1" l="1"/>
  <c r="AJ24" i="1"/>
  <c r="AK24" i="1" l="1"/>
  <c r="AL23" i="1"/>
  <c r="AL24" i="1" s="1"/>
</calcChain>
</file>

<file path=xl/sharedStrings.xml><?xml version="1.0" encoding="utf-8"?>
<sst xmlns="http://schemas.openxmlformats.org/spreadsheetml/2006/main" count="33" uniqueCount="20">
  <si>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</si>
  <si>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</si>
  <si>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</si>
  <si>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</si>
  <si>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</si>
  <si>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</si>
  <si>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</si>
  <si>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</si>
  <si>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</si>
  <si>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ψ</t>
  </si>
  <si>
    <t>dn</t>
  </si>
  <si>
    <t>U</t>
  </si>
  <si>
    <t>V</t>
  </si>
  <si>
    <t>X</t>
  </si>
  <si>
    <t>Y</t>
  </si>
  <si>
    <t>Vel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</si>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</sst>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Border="1"/>
    <xf numFmtId="0" fontId="0" fillId="2" borderId="0" xfId="0" applyFill="1"/>
    <xf numFmtId="0" fontId="0" fillId="2" borderId="1" xfId="0" applyFill="1" applyBorder="1"/>
    <xf numFmtId="164" fontId="0" fillId="2" borderId="1" xfId="0" applyNumberFormat="1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164" fontId="0" fillId="4" borderId="0" xfId="0" applyNumberFormat="1" applyFill="1"/>
    <xf numFmtId="2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164" fontId="0" fillId="6" borderId="0" xfId="0" applyNumberFormat="1" applyFill="1"/>
    <xf numFmtId="0" fontId="0" fillId="3" borderId="0" xfId="0" applyFill="1"/>
    <xf numFmtId="2" fontId="0" fillId="7" borderId="0" xfId="0" applyNumberFormat="1" applyFill="1"/>
    <xf numFmtId="0" fontId="0" fillId="6" borderId="0" xfId="0" applyFill="1" applyAlignment="1">
      <alignment horizontal="center" vertical="center"/>
    </xf>
    <xf numFmtId="2" fontId="0" fillId="0" borderId="0" xfId="0" applyNumberFormat="1" applyFill="1"/>
    <xf numFmtId="2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834703995333911E-2"/>
          <c:y val="5.4421768707482991E-2"/>
          <c:w val="0.85259492563429573"/>
          <c:h val="0.78231292517006801"/>
        </c:manualLayout>
      </c:layout>
      <c:scatterChart>
        <c:scatterStyle val="smoothMarker"/>
        <c:varyColors val="0"/>
        <c:ser>
          <c:idx val="0"/>
          <c:order val="0"/>
          <c:tx>
            <c:v>Верхняя граница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Лист1!$X$18:$AL$18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Лист1!$X$24:$AL$24</c:f>
              <c:numCache>
                <c:formatCode>0.00</c:formatCode>
                <c:ptCount val="15"/>
                <c:pt idx="0" formatCode="General">
                  <c:v>0</c:v>
                </c:pt>
                <c:pt idx="1">
                  <c:v>2.8143790411995724E-2</c:v>
                </c:pt>
                <c:pt idx="2">
                  <c:v>6.3816183311282651E-2</c:v>
                </c:pt>
                <c:pt idx="3">
                  <c:v>0.11458769048709655</c:v>
                </c:pt>
                <c:pt idx="4">
                  <c:v>0.18568973066780017</c:v>
                </c:pt>
                <c:pt idx="5">
                  <c:v>0.27485147035389673</c:v>
                </c:pt>
                <c:pt idx="6">
                  <c:v>0.36820606542984025</c:v>
                </c:pt>
                <c:pt idx="7">
                  <c:v>0.45398914727935336</c:v>
                </c:pt>
                <c:pt idx="8">
                  <c:v>0.52678677880991021</c:v>
                </c:pt>
                <c:pt idx="9">
                  <c:v>0.5859118388206116</c:v>
                </c:pt>
                <c:pt idx="10">
                  <c:v>0.63302379823464439</c:v>
                </c:pt>
                <c:pt idx="11">
                  <c:v>0.67058625851524989</c:v>
                </c:pt>
                <c:pt idx="12">
                  <c:v>0.70112116552016235</c:v>
                </c:pt>
                <c:pt idx="13">
                  <c:v>0.72692518757830837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72-4D3F-8FB1-A5B5B46FB30C}"/>
            </c:ext>
          </c:extLst>
        </c:ser>
        <c:ser>
          <c:idx val="1"/>
          <c:order val="1"/>
          <c:tx>
            <c:v>нижняя граница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Лист1!$X$18:$AL$18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 formatCode="General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-0.92373130806692638</c:v>
                </c:pt>
                <c:pt idx="5">
                  <c:v>0.30864063094835731</c:v>
                </c:pt>
                <c:pt idx="6">
                  <c:v>0.58970058346487353</c:v>
                </c:pt>
                <c:pt idx="7">
                  <c:v>0.74184417109325296</c:v>
                </c:pt>
                <c:pt idx="8">
                  <c:v>0.8536322750480031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72-4D3F-8FB1-A5B5B46FB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213208"/>
        <c:axId val="421214520"/>
      </c:scatterChart>
      <c:valAx>
        <c:axId val="42121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1214520"/>
        <c:crosses val="autoZero"/>
        <c:crossBetween val="midCat"/>
      </c:valAx>
      <c:valAx>
        <c:axId val="42121452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1213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994400699912509"/>
          <c:y val="0.85033952388604483"/>
          <c:w val="0.54370370370370369"/>
          <c:h val="0.131196253529533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44</xdr:row>
      <xdr:rowOff>0</xdr:rowOff>
    </xdr:from>
    <xdr:to>
      <xdr:col>36</xdr:col>
      <xdr:colOff>106868</xdr:colOff>
      <xdr:row>57</xdr:row>
      <xdr:rowOff>133350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35100" y="8382000"/>
          <a:ext cx="8403143" cy="2609850"/>
        </a:xfrm>
        <a:prstGeom prst="rect">
          <a:avLst/>
        </a:prstGeom>
      </xdr:spPr>
    </xdr:pic>
    <xdr:clientData/>
  </xdr:twoCellAnchor>
  <xdr:twoCellAnchor>
    <xdr:from>
      <xdr:col>31</xdr:col>
      <xdr:colOff>342900</xdr:colOff>
      <xdr:row>24</xdr:row>
      <xdr:rowOff>95250</xdr:rowOff>
    </xdr:from>
    <xdr:to>
      <xdr:col>38</xdr:col>
      <xdr:colOff>161925</xdr:colOff>
      <xdr:row>43</xdr:row>
      <xdr:rowOff>104775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F68"/>
  <sheetViews>
    <sheetView tabSelected="1" topLeftCell="R22" workbookViewId="0">
      <selection activeCell="AL48" sqref="AL48"/>
    </sheetView>
  </sheetViews>
  <sheetFormatPr defaultRowHeight="15" x14ac:dyDescent="0.25"/>
  <cols>
    <col min="1" max="1" width="16.140625" customWidth="1"/>
    <col min="21" max="21" width="3.85546875" customWidth="1"/>
    <col min="24" max="38" width="9.5703125" bestFit="1" customWidth="1"/>
  </cols>
  <sheetData>
    <row r="1" spans="1:58" x14ac:dyDescent="0.25">
      <c r="X1" s="4"/>
    </row>
    <row r="2" spans="1:58" x14ac:dyDescent="0.25">
      <c r="A2" s="1" t="s">
        <v>0</v>
      </c>
      <c r="B2" s="1">
        <v>0.2</v>
      </c>
    </row>
    <row r="4" spans="1:58" x14ac:dyDescent="0.25">
      <c r="A4" s="1" t="s">
        <v>1</v>
      </c>
      <c r="B4" s="1">
        <v>10</v>
      </c>
      <c r="F4" s="5">
        <v>1</v>
      </c>
      <c r="G4" s="5">
        <f>F4+1</f>
        <v>2</v>
      </c>
      <c r="H4" s="5">
        <f t="shared" ref="H4:T4" si="0">G4+1</f>
        <v>3</v>
      </c>
      <c r="I4" s="5">
        <f t="shared" si="0"/>
        <v>4</v>
      </c>
      <c r="J4" s="5">
        <f t="shared" si="0"/>
        <v>5</v>
      </c>
      <c r="K4" s="5">
        <f t="shared" si="0"/>
        <v>6</v>
      </c>
      <c r="L4" s="5">
        <f t="shared" si="0"/>
        <v>7</v>
      </c>
      <c r="M4" s="5">
        <f t="shared" si="0"/>
        <v>8</v>
      </c>
      <c r="N4" s="5">
        <f t="shared" si="0"/>
        <v>9</v>
      </c>
      <c r="O4" s="5">
        <f t="shared" si="0"/>
        <v>10</v>
      </c>
      <c r="P4" s="5">
        <f t="shared" si="0"/>
        <v>11</v>
      </c>
      <c r="Q4" s="5">
        <f t="shared" si="0"/>
        <v>12</v>
      </c>
      <c r="R4" s="5">
        <f t="shared" si="0"/>
        <v>13</v>
      </c>
      <c r="S4" s="5">
        <f t="shared" si="0"/>
        <v>14</v>
      </c>
      <c r="T4" s="5">
        <f t="shared" si="0"/>
        <v>15</v>
      </c>
      <c r="W4" s="19" t="s">
        <v>18</v>
      </c>
      <c r="X4" s="19"/>
      <c r="Y4" s="19"/>
    </row>
    <row r="5" spans="1:58" x14ac:dyDescent="0.25">
      <c r="A5" s="1" t="s">
        <v>2</v>
      </c>
      <c r="B5" s="1">
        <v>101325</v>
      </c>
      <c r="D5" t="s">
        <v>9</v>
      </c>
      <c r="E5" s="6">
        <f t="shared" ref="E5:E13" si="1">E6+$B$2</f>
        <v>1.9999999999999998</v>
      </c>
      <c r="F5" s="12">
        <f t="shared" ref="F5:F9" si="2">F6+$B$4*$B$2</f>
        <v>10</v>
      </c>
      <c r="G5" s="12">
        <v>10</v>
      </c>
      <c r="H5" s="12">
        <v>10</v>
      </c>
      <c r="I5" s="12">
        <v>10</v>
      </c>
      <c r="J5" s="12">
        <v>10</v>
      </c>
      <c r="K5" s="12">
        <v>10</v>
      </c>
      <c r="L5" s="12">
        <v>10</v>
      </c>
      <c r="M5" s="12">
        <v>10</v>
      </c>
      <c r="N5" s="12">
        <v>10</v>
      </c>
      <c r="O5" s="12">
        <v>10</v>
      </c>
      <c r="P5" s="12">
        <v>10</v>
      </c>
      <c r="Q5" s="12">
        <v>10</v>
      </c>
      <c r="R5" s="12">
        <v>10</v>
      </c>
      <c r="S5" s="12">
        <v>10</v>
      </c>
      <c r="T5" s="12">
        <f t="shared" ref="T5:T14" si="3">T6+$B$6*$B$2</f>
        <v>10</v>
      </c>
      <c r="U5" s="5">
        <f t="shared" ref="U5:U13" si="4">U6+1</f>
        <v>11</v>
      </c>
      <c r="W5" s="1">
        <v>0</v>
      </c>
      <c r="X5" s="1">
        <f>W5+1</f>
        <v>1</v>
      </c>
      <c r="Y5" s="1">
        <f t="shared" ref="Y5:AL5" si="5">X5+1</f>
        <v>2</v>
      </c>
      <c r="Z5" s="1">
        <f t="shared" si="5"/>
        <v>3</v>
      </c>
      <c r="AA5" s="1">
        <f t="shared" si="5"/>
        <v>4</v>
      </c>
      <c r="AB5" s="1">
        <f t="shared" si="5"/>
        <v>5</v>
      </c>
      <c r="AC5" s="1">
        <f t="shared" si="5"/>
        <v>6</v>
      </c>
      <c r="AD5" s="1">
        <f t="shared" si="5"/>
        <v>7</v>
      </c>
      <c r="AE5" s="1">
        <f t="shared" si="5"/>
        <v>8</v>
      </c>
      <c r="AF5" s="1">
        <f t="shared" si="5"/>
        <v>9</v>
      </c>
      <c r="AG5" s="1">
        <f t="shared" si="5"/>
        <v>10</v>
      </c>
      <c r="AH5" s="1">
        <f t="shared" si="5"/>
        <v>11</v>
      </c>
      <c r="AI5" s="1">
        <f t="shared" si="5"/>
        <v>12</v>
      </c>
      <c r="AJ5" s="1">
        <f t="shared" si="5"/>
        <v>13</v>
      </c>
      <c r="AK5" s="1">
        <f t="shared" si="5"/>
        <v>14</v>
      </c>
      <c r="AL5" s="1">
        <f t="shared" si="5"/>
        <v>15</v>
      </c>
    </row>
    <row r="6" spans="1:58" x14ac:dyDescent="0.25">
      <c r="A6" s="1" t="s">
        <v>3</v>
      </c>
      <c r="B6" s="1">
        <f>((E5-E10)*B4)/(E5-E15)</f>
        <v>5</v>
      </c>
      <c r="E6" s="6">
        <f t="shared" si="1"/>
        <v>1.7999999999999998</v>
      </c>
      <c r="F6" s="12">
        <f t="shared" si="2"/>
        <v>8</v>
      </c>
      <c r="G6" s="14">
        <f>0.25*(F19+G18+H19+G20)</f>
        <v>8.0283446451390201</v>
      </c>
      <c r="H6" s="14">
        <f t="shared" ref="H6:S6" si="6">0.25*(G19+H18+I19+H20)</f>
        <v>8.0648681526173505</v>
      </c>
      <c r="I6" s="14">
        <f t="shared" si="6"/>
        <v>8.1180729987453777</v>
      </c>
      <c r="J6" s="14">
        <f t="shared" si="6"/>
        <v>8.195217166158649</v>
      </c>
      <c r="K6" s="14">
        <f t="shared" si="6"/>
        <v>8.2968869331178503</v>
      </c>
      <c r="L6" s="14">
        <f t="shared" si="6"/>
        <v>8.4102906749091311</v>
      </c>
      <c r="M6" s="14">
        <f t="shared" si="6"/>
        <v>8.5221490566086295</v>
      </c>
      <c r="N6" s="14">
        <f t="shared" si="6"/>
        <v>8.6241900986107414</v>
      </c>
      <c r="O6" s="14">
        <f t="shared" si="6"/>
        <v>8.7130063540493303</v>
      </c>
      <c r="P6" s="14">
        <f t="shared" si="6"/>
        <v>8.7884287858070618</v>
      </c>
      <c r="Q6" s="14">
        <f t="shared" si="6"/>
        <v>8.852108469436633</v>
      </c>
      <c r="R6" s="14">
        <f t="shared" si="6"/>
        <v>8.9066037598749812</v>
      </c>
      <c r="S6" s="14">
        <f t="shared" si="6"/>
        <v>8.9548687882918756</v>
      </c>
      <c r="T6" s="12">
        <f t="shared" si="3"/>
        <v>9</v>
      </c>
      <c r="U6" s="5">
        <f t="shared" si="4"/>
        <v>10</v>
      </c>
      <c r="W6" s="1" t="s">
        <v>9</v>
      </c>
      <c r="X6" s="18">
        <f>$B$16</f>
        <v>0</v>
      </c>
      <c r="Y6" s="18">
        <f t="shared" ref="Y6:AL6" si="7">$B$16</f>
        <v>0</v>
      </c>
      <c r="Z6" s="18">
        <f t="shared" si="7"/>
        <v>0</v>
      </c>
      <c r="AA6" s="18">
        <f t="shared" si="7"/>
        <v>0</v>
      </c>
      <c r="AB6" s="18">
        <f t="shared" si="7"/>
        <v>0</v>
      </c>
      <c r="AC6" s="18">
        <f t="shared" si="7"/>
        <v>0</v>
      </c>
      <c r="AD6" s="18">
        <f t="shared" si="7"/>
        <v>0</v>
      </c>
      <c r="AE6" s="18">
        <f t="shared" si="7"/>
        <v>0</v>
      </c>
      <c r="AF6" s="18">
        <f t="shared" si="7"/>
        <v>0</v>
      </c>
      <c r="AG6" s="18">
        <f t="shared" si="7"/>
        <v>0</v>
      </c>
      <c r="AH6" s="18">
        <f t="shared" si="7"/>
        <v>0</v>
      </c>
      <c r="AI6" s="18">
        <f t="shared" si="7"/>
        <v>0</v>
      </c>
      <c r="AJ6" s="18">
        <f t="shared" si="7"/>
        <v>0</v>
      </c>
      <c r="AK6" s="18">
        <f t="shared" si="7"/>
        <v>0</v>
      </c>
      <c r="AL6" s="18">
        <f t="shared" si="7"/>
        <v>0</v>
      </c>
    </row>
    <row r="7" spans="1:58" x14ac:dyDescent="0.25">
      <c r="E7" s="6">
        <f t="shared" si="1"/>
        <v>1.5999999999999999</v>
      </c>
      <c r="F7" s="12">
        <f t="shared" si="2"/>
        <v>6</v>
      </c>
      <c r="G7" s="14">
        <f t="shared" ref="G7:S7" si="8">0.25*(F20+G19+H20+G21)</f>
        <v>6.0485104297694843</v>
      </c>
      <c r="H7" s="14">
        <f t="shared" si="8"/>
        <v>6.1130549706282409</v>
      </c>
      <c r="I7" s="14">
        <f t="shared" si="8"/>
        <v>6.2122066826259434</v>
      </c>
      <c r="J7" s="14">
        <f t="shared" si="8"/>
        <v>6.3659087426749377</v>
      </c>
      <c r="K7" s="14">
        <f t="shared" si="8"/>
        <v>6.5820399046363747</v>
      </c>
      <c r="L7" s="14">
        <f t="shared" si="8"/>
        <v>6.8221267276369435</v>
      </c>
      <c r="M7" s="14">
        <f t="shared" si="8"/>
        <v>7.0541154734311275</v>
      </c>
      <c r="N7" s="14">
        <f t="shared" si="8"/>
        <v>7.261605007508015</v>
      </c>
      <c r="O7" s="14">
        <f t="shared" si="8"/>
        <v>7.4394065553780901</v>
      </c>
      <c r="P7" s="14">
        <f t="shared" si="8"/>
        <v>7.5886003429309392</v>
      </c>
      <c r="Q7" s="14">
        <f t="shared" si="8"/>
        <v>7.7134013511164907</v>
      </c>
      <c r="R7" s="14">
        <f t="shared" si="8"/>
        <v>7.819437796179094</v>
      </c>
      <c r="S7" s="14">
        <f t="shared" si="8"/>
        <v>7.9128714006144643</v>
      </c>
      <c r="T7" s="12">
        <f t="shared" si="3"/>
        <v>8</v>
      </c>
      <c r="U7" s="5">
        <f t="shared" si="4"/>
        <v>9</v>
      </c>
      <c r="W7" s="1" t="s">
        <v>13</v>
      </c>
      <c r="X7" s="1">
        <v>0</v>
      </c>
      <c r="Y7" s="1">
        <f>X7+$B$2</f>
        <v>0.2</v>
      </c>
      <c r="Z7" s="1">
        <f t="shared" ref="Z7:AL7" si="9">Y7+$B$2</f>
        <v>0.4</v>
      </c>
      <c r="AA7" s="1">
        <f t="shared" si="9"/>
        <v>0.60000000000000009</v>
      </c>
      <c r="AB7" s="1">
        <f t="shared" si="9"/>
        <v>0.8</v>
      </c>
      <c r="AC7" s="1">
        <f t="shared" si="9"/>
        <v>1</v>
      </c>
      <c r="AD7" s="1">
        <f t="shared" si="9"/>
        <v>1.2</v>
      </c>
      <c r="AE7" s="1">
        <f t="shared" si="9"/>
        <v>1.4</v>
      </c>
      <c r="AF7" s="1">
        <f t="shared" si="9"/>
        <v>1.5999999999999999</v>
      </c>
      <c r="AG7" s="1">
        <f t="shared" si="9"/>
        <v>1.7999999999999998</v>
      </c>
      <c r="AH7" s="1">
        <f t="shared" si="9"/>
        <v>1.9999999999999998</v>
      </c>
      <c r="AI7" s="1">
        <f t="shared" si="9"/>
        <v>2.1999999999999997</v>
      </c>
      <c r="AJ7" s="1">
        <f t="shared" si="9"/>
        <v>2.4</v>
      </c>
      <c r="AK7" s="1">
        <f t="shared" si="9"/>
        <v>2.6</v>
      </c>
      <c r="AL7" s="1">
        <f t="shared" si="9"/>
        <v>2.8000000000000003</v>
      </c>
    </row>
    <row r="8" spans="1:58" x14ac:dyDescent="0.25">
      <c r="E8" s="6">
        <f t="shared" si="1"/>
        <v>1.4</v>
      </c>
      <c r="F8" s="12">
        <f t="shared" si="2"/>
        <v>4</v>
      </c>
      <c r="G8" s="14">
        <f t="shared" ref="G8:S8" si="10">0.25*(F21+G20+H21+G22)</f>
        <v>4.0526421064459752</v>
      </c>
      <c r="H8" s="14">
        <f t="shared" si="10"/>
        <v>4.1266346239826159</v>
      </c>
      <c r="I8" s="14">
        <f t="shared" si="10"/>
        <v>4.2517900296834323</v>
      </c>
      <c r="J8" s="14">
        <f t="shared" si="10"/>
        <v>4.4741712337143431</v>
      </c>
      <c r="K8" s="14">
        <f t="shared" si="10"/>
        <v>4.8432372393719767</v>
      </c>
      <c r="L8" s="14">
        <f t="shared" si="10"/>
        <v>5.2420608884190019</v>
      </c>
      <c r="M8" s="14">
        <f t="shared" si="10"/>
        <v>5.6105811409677315</v>
      </c>
      <c r="N8" s="14">
        <f t="shared" si="10"/>
        <v>5.9287079449440832</v>
      </c>
      <c r="O8" s="14">
        <f t="shared" si="10"/>
        <v>6.1944145626442628</v>
      </c>
      <c r="P8" s="14">
        <f t="shared" si="10"/>
        <v>6.4131647212713627</v>
      </c>
      <c r="Q8" s="14">
        <f t="shared" si="10"/>
        <v>6.5934588330273387</v>
      </c>
      <c r="R8" s="14">
        <f t="shared" si="10"/>
        <v>6.7448746992382995</v>
      </c>
      <c r="S8" s="14">
        <f t="shared" si="10"/>
        <v>6.877179032289134</v>
      </c>
      <c r="T8" s="12">
        <f t="shared" si="3"/>
        <v>7</v>
      </c>
      <c r="U8" s="5">
        <f t="shared" si="4"/>
        <v>8</v>
      </c>
      <c r="W8" s="1" t="s">
        <v>14</v>
      </c>
      <c r="X8" s="7">
        <f>$E$10</f>
        <v>1</v>
      </c>
      <c r="Y8" s="7">
        <f t="shared" ref="Y8:AB8" si="11">$E$10</f>
        <v>1</v>
      </c>
      <c r="Z8" s="7">
        <f t="shared" si="11"/>
        <v>1</v>
      </c>
      <c r="AA8" s="7">
        <f t="shared" si="11"/>
        <v>1</v>
      </c>
      <c r="AB8" s="7">
        <f t="shared" si="11"/>
        <v>1</v>
      </c>
      <c r="AC8" s="7">
        <f>E11</f>
        <v>0.8</v>
      </c>
      <c r="AD8" s="7">
        <f>E12</f>
        <v>0.60000000000000009</v>
      </c>
      <c r="AE8" s="7">
        <f>E13</f>
        <v>0.4</v>
      </c>
      <c r="AF8" s="7">
        <f>E14</f>
        <v>0.2</v>
      </c>
      <c r="AG8" s="7">
        <f>$E$15</f>
        <v>0</v>
      </c>
      <c r="AH8" s="7">
        <f t="shared" ref="AH8:AL8" si="12">$E$15</f>
        <v>0</v>
      </c>
      <c r="AI8" s="7">
        <f t="shared" si="12"/>
        <v>0</v>
      </c>
      <c r="AJ8" s="7">
        <f t="shared" si="12"/>
        <v>0</v>
      </c>
      <c r="AK8" s="7">
        <f t="shared" si="12"/>
        <v>0</v>
      </c>
      <c r="AL8" s="7">
        <f t="shared" si="12"/>
        <v>0</v>
      </c>
    </row>
    <row r="9" spans="1:58" x14ac:dyDescent="0.25">
      <c r="A9" t="s">
        <v>10</v>
      </c>
      <c r="B9">
        <v>1</v>
      </c>
      <c r="E9" s="6">
        <f t="shared" si="1"/>
        <v>1.2</v>
      </c>
      <c r="F9" s="12">
        <f t="shared" si="2"/>
        <v>2</v>
      </c>
      <c r="G9" s="14">
        <f t="shared" ref="G9:S10" si="13">0.25*(F22+G21+H22+G23)</f>
        <v>2.0354233751437012</v>
      </c>
      <c r="H9" s="14">
        <f t="shared" si="13"/>
        <v>2.0890513961841743</v>
      </c>
      <c r="I9" s="14">
        <f t="shared" si="13"/>
        <v>2.194147589988189</v>
      </c>
      <c r="J9" s="14">
        <f t="shared" si="13"/>
        <v>2.4357489421841789</v>
      </c>
      <c r="K9" s="14">
        <f t="shared" si="13"/>
        <v>3.0746769585919966</v>
      </c>
      <c r="L9" s="14">
        <f t="shared" si="13"/>
        <v>3.6922984856763237</v>
      </c>
      <c r="M9" s="14">
        <f t="shared" si="13"/>
        <v>4.2174403054853933</v>
      </c>
      <c r="N9" s="14">
        <f t="shared" si="13"/>
        <v>4.6482311263033065</v>
      </c>
      <c r="O9" s="14">
        <f t="shared" si="13"/>
        <v>4.9963790874444012</v>
      </c>
      <c r="P9" s="14">
        <f t="shared" si="13"/>
        <v>5.2761852046602016</v>
      </c>
      <c r="Q9" s="14">
        <f t="shared" si="13"/>
        <v>5.5023946086763953</v>
      </c>
      <c r="R9" s="14">
        <f t="shared" si="13"/>
        <v>5.6894231720890422</v>
      </c>
      <c r="S9" s="14">
        <f t="shared" si="13"/>
        <v>5.8509700479715772</v>
      </c>
      <c r="T9" s="12">
        <f t="shared" si="3"/>
        <v>6</v>
      </c>
      <c r="U9" s="5">
        <f t="shared" si="4"/>
        <v>7</v>
      </c>
      <c r="W9" s="1" t="s">
        <v>11</v>
      </c>
      <c r="X9" s="18">
        <f>F36</f>
        <v>10</v>
      </c>
      <c r="Y9" s="18">
        <f t="shared" ref="Y9:AB9" si="14">G36</f>
        <v>10.177116875718506</v>
      </c>
      <c r="Z9" s="18">
        <f t="shared" si="14"/>
        <v>10.44525698092087</v>
      </c>
      <c r="AA9" s="18">
        <f t="shared" si="14"/>
        <v>10.970737949940945</v>
      </c>
      <c r="AB9" s="18">
        <f t="shared" si="14"/>
        <v>12.178744710920894</v>
      </c>
      <c r="AC9" s="18">
        <f>K37</f>
        <v>6.6371159657029066</v>
      </c>
      <c r="AD9" s="18">
        <f>L38</f>
        <v>5.0084557299208639</v>
      </c>
      <c r="AE9" s="18">
        <f>M39</f>
        <v>3.9931582798353946</v>
      </c>
      <c r="AF9" s="18">
        <f>N40</f>
        <v>3.1416985814568066</v>
      </c>
      <c r="AG9" s="18">
        <f>O41</f>
        <v>2.1832321413793334</v>
      </c>
      <c r="AH9" s="18">
        <f t="shared" ref="AH9:AL9" si="15">P41</f>
        <v>3.2800235617569942</v>
      </c>
      <c r="AI9" s="18">
        <f t="shared" si="15"/>
        <v>3.9307642264347868</v>
      </c>
      <c r="AJ9" s="18">
        <f t="shared" si="15"/>
        <v>4.3713257263338035</v>
      </c>
      <c r="AK9" s="18">
        <f t="shared" si="15"/>
        <v>4.7077636852258209</v>
      </c>
      <c r="AL9" s="18">
        <f t="shared" si="15"/>
        <v>5</v>
      </c>
    </row>
    <row r="10" spans="1:58" x14ac:dyDescent="0.25">
      <c r="A10" s="1" t="s">
        <v>4</v>
      </c>
      <c r="B10" s="1">
        <v>300</v>
      </c>
      <c r="E10" s="6">
        <f t="shared" si="1"/>
        <v>1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4">
        <f t="shared" si="13"/>
        <v>1.3274231931405813</v>
      </c>
      <c r="L10" s="14">
        <f t="shared" ref="L10:S10" si="16">0.25*(K23+L22+M23+L24)</f>
        <v>2.2350158287552464</v>
      </c>
      <c r="M10" s="14">
        <f t="shared" si="16"/>
        <v>2.9186505221876624</v>
      </c>
      <c r="N10" s="14">
        <f t="shared" si="16"/>
        <v>3.4503972282043409</v>
      </c>
      <c r="O10" s="14">
        <f t="shared" si="16"/>
        <v>3.8666855239550633</v>
      </c>
      <c r="P10" s="14">
        <f t="shared" si="16"/>
        <v>4.192802464744295</v>
      </c>
      <c r="Q10" s="14">
        <f t="shared" si="16"/>
        <v>4.4505112819815364</v>
      </c>
      <c r="R10" s="14">
        <f t="shared" si="16"/>
        <v>4.6594533729664782</v>
      </c>
      <c r="S10" s="14">
        <f t="shared" si="16"/>
        <v>4.837278009772402</v>
      </c>
      <c r="T10" s="12">
        <f t="shared" si="3"/>
        <v>5</v>
      </c>
      <c r="U10" s="5">
        <f t="shared" si="4"/>
        <v>6</v>
      </c>
      <c r="W10" s="1" t="s">
        <v>12</v>
      </c>
      <c r="X10" s="18">
        <f>F49</f>
        <v>0</v>
      </c>
      <c r="Y10" s="18">
        <f t="shared" ref="Y10:AB10" si="17">G49</f>
        <v>0</v>
      </c>
      <c r="Z10" s="18">
        <f t="shared" si="17"/>
        <v>0</v>
      </c>
      <c r="AA10" s="18">
        <f t="shared" si="17"/>
        <v>0</v>
      </c>
      <c r="AB10" s="18">
        <f t="shared" si="17"/>
        <v>-6.6371159454163307</v>
      </c>
      <c r="AC10" s="18">
        <f>K50</f>
        <v>-5.0084557064001372</v>
      </c>
      <c r="AD10" s="18">
        <f>L51</f>
        <v>-3.9931582556852718</v>
      </c>
      <c r="AE10" s="18">
        <f>M52</f>
        <v>-3.1416985601510459</v>
      </c>
      <c r="AF10" s="18">
        <f>N53</f>
        <v>-2.1832321265666876</v>
      </c>
      <c r="AG10" s="18">
        <f>O54</f>
        <v>0</v>
      </c>
      <c r="AH10" s="18">
        <f t="shared" ref="AH10:AL10" si="18">P54</f>
        <v>0</v>
      </c>
      <c r="AI10" s="18">
        <f t="shared" si="18"/>
        <v>0</v>
      </c>
      <c r="AJ10" s="18">
        <f t="shared" si="18"/>
        <v>0</v>
      </c>
      <c r="AK10" s="18">
        <f t="shared" si="18"/>
        <v>0</v>
      </c>
      <c r="AL10" s="18">
        <f t="shared" si="18"/>
        <v>0</v>
      </c>
    </row>
    <row r="11" spans="1:58" x14ac:dyDescent="0.25">
      <c r="E11" s="6">
        <f t="shared" si="1"/>
        <v>0.8</v>
      </c>
      <c r="K11" s="13">
        <v>0</v>
      </c>
      <c r="L11" s="14">
        <f t="shared" ref="L11:S11" si="19">0.25*(K24+L23+M24+L25)</f>
        <v>1.0016911459841729</v>
      </c>
      <c r="M11" s="14">
        <f t="shared" si="19"/>
        <v>1.7717487723234222</v>
      </c>
      <c r="N11" s="14">
        <f t="shared" si="19"/>
        <v>2.3680218004020603</v>
      </c>
      <c r="O11" s="14">
        <f t="shared" si="19"/>
        <v>2.8271633796161399</v>
      </c>
      <c r="P11" s="14">
        <f t="shared" si="19"/>
        <v>3.1778279143367341</v>
      </c>
      <c r="Q11" s="14">
        <f t="shared" si="19"/>
        <v>3.4473947372538909</v>
      </c>
      <c r="R11" s="14">
        <f t="shared" si="19"/>
        <v>3.6606010708649892</v>
      </c>
      <c r="S11" s="14">
        <f t="shared" si="19"/>
        <v>3.8386886401185123</v>
      </c>
      <c r="T11" s="12">
        <f t="shared" si="3"/>
        <v>4</v>
      </c>
      <c r="U11" s="5">
        <f t="shared" si="4"/>
        <v>5</v>
      </c>
      <c r="W11" s="1" t="s">
        <v>15</v>
      </c>
      <c r="X11" s="18">
        <f>F62</f>
        <v>10</v>
      </c>
      <c r="Y11" s="18">
        <f t="shared" ref="Y11:AB11" si="20">G62</f>
        <v>10.177116875718506</v>
      </c>
      <c r="Z11" s="18">
        <f t="shared" si="20"/>
        <v>10.44525698092087</v>
      </c>
      <c r="AA11" s="18">
        <f t="shared" si="20"/>
        <v>10.970737949940945</v>
      </c>
      <c r="AB11" s="18">
        <f t="shared" si="20"/>
        <v>13.86986412358403</v>
      </c>
      <c r="AC11" s="18">
        <f>K63</f>
        <v>8.3148022769733085</v>
      </c>
      <c r="AD11" s="18">
        <f>L64</f>
        <v>6.4054618610623679</v>
      </c>
      <c r="AE11" s="18">
        <f>M65</f>
        <v>5.0809037474324503</v>
      </c>
      <c r="AF11" s="18">
        <f>N66</f>
        <v>3.8258035097480647</v>
      </c>
      <c r="AG11" s="18">
        <f>O67</f>
        <v>2.1832321413793334</v>
      </c>
      <c r="AH11" s="18">
        <f>P67</f>
        <v>3.2800235617569942</v>
      </c>
      <c r="AI11" s="18">
        <f t="shared" ref="AI11:AL11" si="21">Q67</f>
        <v>3.9307642264347868</v>
      </c>
      <c r="AJ11" s="18">
        <f t="shared" si="21"/>
        <v>4.3713257263338035</v>
      </c>
      <c r="AK11" s="18">
        <f t="shared" si="21"/>
        <v>4.7077636852258209</v>
      </c>
      <c r="AL11" s="18">
        <f t="shared" si="21"/>
        <v>5</v>
      </c>
    </row>
    <row r="12" spans="1:58" x14ac:dyDescent="0.25">
      <c r="A12" s="1" t="s">
        <v>5</v>
      </c>
      <c r="B12" s="1">
        <v>15</v>
      </c>
      <c r="E12" s="6">
        <f t="shared" si="1"/>
        <v>0.60000000000000009</v>
      </c>
      <c r="L12" s="13">
        <v>0</v>
      </c>
      <c r="M12" s="14">
        <f t="shared" ref="M12:S12" si="22">0.25*(L25+M24+N25+M26)</f>
        <v>0.79863165596707897</v>
      </c>
      <c r="N12" s="14">
        <f t="shared" si="22"/>
        <v>1.4227778691455795</v>
      </c>
      <c r="O12" s="14">
        <f t="shared" si="22"/>
        <v>1.8961183376882007</v>
      </c>
      <c r="P12" s="14">
        <f t="shared" si="22"/>
        <v>2.2439511326791068</v>
      </c>
      <c r="Q12" s="14">
        <f t="shared" si="22"/>
        <v>2.5006387344439092</v>
      </c>
      <c r="R12" s="14">
        <f t="shared" si="22"/>
        <v>2.6968675710597356</v>
      </c>
      <c r="S12" s="14">
        <f t="shared" si="22"/>
        <v>2.8568755008645055</v>
      </c>
      <c r="T12" s="12">
        <f t="shared" si="3"/>
        <v>3</v>
      </c>
      <c r="U12" s="5">
        <f t="shared" si="4"/>
        <v>4</v>
      </c>
      <c r="W12" s="1" t="s">
        <v>16</v>
      </c>
      <c r="X12" s="1">
        <f>B5</f>
        <v>101325</v>
      </c>
      <c r="Y12" s="1">
        <f>(X12+(X11^2)/2)-(Y11^2)/2</f>
        <v>101323.21314604898</v>
      </c>
      <c r="Z12" s="1">
        <f t="shared" ref="Z12:AL12" si="23">(Y12+(Y11^2)/2)-(Z11^2)/2</f>
        <v>101320.44830330127</v>
      </c>
      <c r="AA12" s="1">
        <f t="shared" si="23"/>
        <v>101314.82145441686</v>
      </c>
      <c r="AB12" s="1">
        <f t="shared" si="23"/>
        <v>101278.81343459665</v>
      </c>
      <c r="AC12" s="1">
        <f t="shared" si="23"/>
        <v>101340.43203154742</v>
      </c>
      <c r="AD12" s="1">
        <f t="shared" si="23"/>
        <v>101354.48502917324</v>
      </c>
      <c r="AE12" s="1">
        <f t="shared" si="23"/>
        <v>101362.09220855466</v>
      </c>
      <c r="AF12" s="1">
        <f t="shared" si="23"/>
        <v>101367.6816137524</v>
      </c>
      <c r="AG12" s="1">
        <f t="shared" si="23"/>
        <v>101372.61674870843</v>
      </c>
      <c r="AH12" s="1">
        <f t="shared" si="23"/>
        <v>101369.62072271715</v>
      </c>
      <c r="AI12" s="1">
        <f t="shared" si="23"/>
        <v>101367.2745462981</v>
      </c>
      <c r="AJ12" s="1">
        <f t="shared" si="23"/>
        <v>101365.44575569715</v>
      </c>
      <c r="AK12" s="1">
        <f t="shared" si="23"/>
        <v>101363.91848054204</v>
      </c>
      <c r="AL12" s="1">
        <f t="shared" si="23"/>
        <v>101362.5</v>
      </c>
    </row>
    <row r="13" spans="1:58" x14ac:dyDescent="0.25">
      <c r="A13" s="1" t="s">
        <v>6</v>
      </c>
      <c r="B13" s="1">
        <v>11</v>
      </c>
      <c r="E13" s="6">
        <f t="shared" si="1"/>
        <v>0.4</v>
      </c>
      <c r="M13" s="13">
        <v>0</v>
      </c>
      <c r="N13" s="14">
        <f t="shared" ref="N13:S13" si="24">0.25*(M26+N25+O26+N27)</f>
        <v>0.62833971629136132</v>
      </c>
      <c r="O13" s="14">
        <f t="shared" si="24"/>
        <v>1.0905810115475707</v>
      </c>
      <c r="P13" s="14">
        <f t="shared" si="24"/>
        <v>1.4012195910538192</v>
      </c>
      <c r="Q13" s="14">
        <f t="shared" si="24"/>
        <v>1.6143415379003316</v>
      </c>
      <c r="R13" s="14">
        <f t="shared" si="24"/>
        <v>1.7693550103445033</v>
      </c>
      <c r="S13" s="14">
        <f t="shared" si="24"/>
        <v>1.8919458089999575</v>
      </c>
      <c r="T13" s="12">
        <f t="shared" si="3"/>
        <v>2</v>
      </c>
      <c r="U13" s="5">
        <f t="shared" si="4"/>
        <v>3</v>
      </c>
      <c r="W13" s="1" t="s">
        <v>17</v>
      </c>
      <c r="X13" s="1">
        <f>(X12-$B$5)/(($B$4^2)/2)</f>
        <v>0</v>
      </c>
      <c r="Y13" s="18">
        <f t="shared" ref="Y13" si="25">(Y12-$B$5)/(($B$4^2)/2)</f>
        <v>-3.5737079020473177E-2</v>
      </c>
      <c r="Z13" s="18">
        <f t="shared" ref="Z13" si="26">(Z12-$B$5)/(($B$4^2)/2)</f>
        <v>-9.1033933974686079E-2</v>
      </c>
      <c r="AA13" s="18">
        <f t="shared" ref="AA13" si="27">(AA12-$B$5)/(($B$4^2)/2)</f>
        <v>-0.2035709116628277</v>
      </c>
      <c r="AB13" s="18">
        <f t="shared" ref="AB13" si="28">(AB12-$B$5)/(($B$4^2)/2)</f>
        <v>-0.92373130806692638</v>
      </c>
      <c r="AC13" s="18">
        <f t="shared" ref="AC13" si="29">(AC12-$B$5)/(($B$4^2)/2)</f>
        <v>0.30864063094835731</v>
      </c>
      <c r="AD13" s="18">
        <f t="shared" ref="AD13" si="30">(AD12-$B$5)/(($B$4^2)/2)</f>
        <v>0.58970058346487353</v>
      </c>
      <c r="AE13" s="18">
        <f t="shared" ref="AE13" si="31">(AE12-$B$5)/(($B$4^2)/2)</f>
        <v>0.74184417109325296</v>
      </c>
      <c r="AF13" s="18">
        <f t="shared" ref="AF13" si="32">(AF12-$B$5)/(($B$4^2)/2)</f>
        <v>0.8536322750480031</v>
      </c>
      <c r="AG13" s="18">
        <f t="shared" ref="AG13" si="33">(AG12-$B$5)/(($B$4^2)/2)</f>
        <v>0.95233497416862523</v>
      </c>
      <c r="AH13" s="18">
        <f t="shared" ref="AH13" si="34">(AH12-$B$5)/(($B$4^2)/2)</f>
        <v>0.89241445434308841</v>
      </c>
      <c r="AI13" s="18">
        <f t="shared" ref="AI13" si="35">(AI12-$B$5)/(($B$4^2)/2)</f>
        <v>0.84549092596193076</v>
      </c>
      <c r="AJ13" s="18">
        <f t="shared" ref="AJ13" si="36">(AJ12-$B$5)/(($B$4^2)/2)</f>
        <v>0.80891511394293047</v>
      </c>
      <c r="AK13" s="18">
        <f t="shared" ref="AK13" si="37">(AK12-$B$5)/(($B$4^2)/2)</f>
        <v>0.77836961084074574</v>
      </c>
      <c r="AL13" s="18">
        <f t="shared" ref="AL13" si="38">(AL12-$B$5)/(($B$4^2)/2)</f>
        <v>0.75</v>
      </c>
    </row>
    <row r="14" spans="1:58" x14ac:dyDescent="0.25">
      <c r="A14" s="1" t="s">
        <v>7</v>
      </c>
      <c r="B14" s="1">
        <v>15</v>
      </c>
      <c r="E14" s="6">
        <f>E15+$B$2</f>
        <v>0.2</v>
      </c>
      <c r="N14" s="13">
        <v>0</v>
      </c>
      <c r="O14" s="14">
        <f t="shared" ref="O14:S14" si="39">0.25*(N27+O26+P27+O28)</f>
        <v>0.43664642827586675</v>
      </c>
      <c r="P14" s="14">
        <f t="shared" si="39"/>
        <v>0.6560047123513989</v>
      </c>
      <c r="Q14" s="14">
        <f t="shared" si="39"/>
        <v>0.78615284528695739</v>
      </c>
      <c r="R14" s="14">
        <f t="shared" si="39"/>
        <v>0.8742651452667608</v>
      </c>
      <c r="S14" s="14">
        <f t="shared" si="39"/>
        <v>0.94155273704516418</v>
      </c>
      <c r="T14" s="12">
        <f t="shared" si="3"/>
        <v>1</v>
      </c>
      <c r="U14" s="5">
        <f>U15+1</f>
        <v>2</v>
      </c>
    </row>
    <row r="15" spans="1:58" x14ac:dyDescent="0.25">
      <c r="A15" s="1" t="s">
        <v>8</v>
      </c>
      <c r="B15" s="1">
        <v>6</v>
      </c>
      <c r="E15" s="6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5">
        <v>1</v>
      </c>
      <c r="W15" s="20" t="s">
        <v>19</v>
      </c>
      <c r="X15" s="20"/>
      <c r="Y15" s="20"/>
    </row>
    <row r="16" spans="1:58" x14ac:dyDescent="0.25">
      <c r="A16" s="2" t="s">
        <v>9</v>
      </c>
      <c r="B16" s="1">
        <v>0</v>
      </c>
      <c r="F16" s="8">
        <f>E15</f>
        <v>0</v>
      </c>
      <c r="G16" s="8">
        <f>E14</f>
        <v>0.2</v>
      </c>
      <c r="H16" s="8">
        <f>G16+$B$2</f>
        <v>0.4</v>
      </c>
      <c r="I16" s="8">
        <f t="shared" ref="I16:T16" si="40">H16+$B$2</f>
        <v>0.60000000000000009</v>
      </c>
      <c r="J16" s="8">
        <f t="shared" si="40"/>
        <v>0.8</v>
      </c>
      <c r="K16" s="8">
        <f t="shared" si="40"/>
        <v>1</v>
      </c>
      <c r="L16" s="8">
        <f t="shared" si="40"/>
        <v>1.2</v>
      </c>
      <c r="M16" s="8">
        <f t="shared" si="40"/>
        <v>1.4</v>
      </c>
      <c r="N16" s="8">
        <f t="shared" si="40"/>
        <v>1.5999999999999999</v>
      </c>
      <c r="O16" s="8">
        <f t="shared" si="40"/>
        <v>1.7999999999999998</v>
      </c>
      <c r="P16" s="8">
        <f t="shared" si="40"/>
        <v>1.9999999999999998</v>
      </c>
      <c r="Q16" s="8">
        <f t="shared" si="40"/>
        <v>2.1999999999999997</v>
      </c>
      <c r="R16" s="8">
        <f t="shared" si="40"/>
        <v>2.4</v>
      </c>
      <c r="S16" s="8">
        <f t="shared" si="40"/>
        <v>2.6</v>
      </c>
      <c r="T16" s="8">
        <f t="shared" si="40"/>
        <v>2.8000000000000003</v>
      </c>
      <c r="U16" s="3"/>
      <c r="W16" s="1">
        <v>0</v>
      </c>
      <c r="X16" s="1">
        <f>W16+1</f>
        <v>1</v>
      </c>
      <c r="Y16" s="1">
        <f t="shared" ref="Y16:AL16" si="41">X16+1</f>
        <v>2</v>
      </c>
      <c r="Z16" s="1">
        <f t="shared" si="41"/>
        <v>3</v>
      </c>
      <c r="AA16" s="1">
        <f t="shared" si="41"/>
        <v>4</v>
      </c>
      <c r="AB16" s="1">
        <f t="shared" si="41"/>
        <v>5</v>
      </c>
      <c r="AC16" s="1">
        <f t="shared" si="41"/>
        <v>6</v>
      </c>
      <c r="AD16" s="1">
        <f t="shared" si="41"/>
        <v>7</v>
      </c>
      <c r="AE16" s="1">
        <f t="shared" si="41"/>
        <v>8</v>
      </c>
      <c r="AF16" s="1">
        <f t="shared" si="41"/>
        <v>9</v>
      </c>
      <c r="AG16" s="1">
        <f t="shared" si="41"/>
        <v>10</v>
      </c>
      <c r="AH16" s="1">
        <f t="shared" si="41"/>
        <v>11</v>
      </c>
      <c r="AI16" s="1">
        <f t="shared" si="41"/>
        <v>12</v>
      </c>
      <c r="AJ16" s="1">
        <f t="shared" si="41"/>
        <v>13</v>
      </c>
      <c r="AK16" s="1">
        <f t="shared" si="41"/>
        <v>14</v>
      </c>
      <c r="AL16" s="1">
        <f t="shared" si="41"/>
        <v>15</v>
      </c>
      <c r="AN16">
        <v>1</v>
      </c>
      <c r="AO16">
        <f>1+AN16</f>
        <v>2</v>
      </c>
      <c r="AP16">
        <f t="shared" ref="AP16:BF16" si="42">1+AO16</f>
        <v>3</v>
      </c>
      <c r="AQ16">
        <f t="shared" si="42"/>
        <v>4</v>
      </c>
      <c r="AR16">
        <f t="shared" si="42"/>
        <v>5</v>
      </c>
      <c r="AS16">
        <f t="shared" si="42"/>
        <v>6</v>
      </c>
      <c r="AT16">
        <f t="shared" si="42"/>
        <v>7</v>
      </c>
      <c r="AU16">
        <f t="shared" si="42"/>
        <v>8</v>
      </c>
      <c r="AV16">
        <f t="shared" si="42"/>
        <v>9</v>
      </c>
      <c r="AW16">
        <f t="shared" si="42"/>
        <v>10</v>
      </c>
      <c r="AX16">
        <f t="shared" si="42"/>
        <v>11</v>
      </c>
      <c r="AY16">
        <f t="shared" si="42"/>
        <v>12</v>
      </c>
      <c r="AZ16">
        <f t="shared" si="42"/>
        <v>13</v>
      </c>
      <c r="BA16">
        <f t="shared" si="42"/>
        <v>14</v>
      </c>
      <c r="BB16">
        <f t="shared" si="42"/>
        <v>15</v>
      </c>
      <c r="BC16">
        <f t="shared" si="42"/>
        <v>16</v>
      </c>
      <c r="BD16">
        <f t="shared" si="42"/>
        <v>17</v>
      </c>
      <c r="BE16">
        <f t="shared" si="42"/>
        <v>18</v>
      </c>
      <c r="BF16">
        <f t="shared" si="42"/>
        <v>19</v>
      </c>
    </row>
    <row r="17" spans="4:54" x14ac:dyDescent="0.25">
      <c r="W17" s="1" t="s">
        <v>9</v>
      </c>
      <c r="X17" s="18">
        <f>$B$16</f>
        <v>0</v>
      </c>
      <c r="Y17" s="18">
        <f t="shared" ref="Y17:AL17" si="43">$B$16</f>
        <v>0</v>
      </c>
      <c r="Z17" s="18">
        <f t="shared" si="43"/>
        <v>0</v>
      </c>
      <c r="AA17" s="18">
        <f t="shared" si="43"/>
        <v>0</v>
      </c>
      <c r="AB17" s="18">
        <f t="shared" si="43"/>
        <v>0</v>
      </c>
      <c r="AC17" s="18">
        <f t="shared" si="43"/>
        <v>0</v>
      </c>
      <c r="AD17" s="18">
        <f t="shared" si="43"/>
        <v>0</v>
      </c>
      <c r="AE17" s="18">
        <f t="shared" si="43"/>
        <v>0</v>
      </c>
      <c r="AF17" s="18">
        <f t="shared" si="43"/>
        <v>0</v>
      </c>
      <c r="AG17" s="18">
        <f t="shared" si="43"/>
        <v>0</v>
      </c>
      <c r="AH17" s="18">
        <f t="shared" si="43"/>
        <v>0</v>
      </c>
      <c r="AI17" s="18">
        <f t="shared" si="43"/>
        <v>0</v>
      </c>
      <c r="AJ17" s="18">
        <f t="shared" si="43"/>
        <v>0</v>
      </c>
      <c r="AK17" s="18">
        <f t="shared" si="43"/>
        <v>0</v>
      </c>
      <c r="AL17" s="18">
        <f t="shared" si="43"/>
        <v>0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</row>
    <row r="18" spans="4:54" x14ac:dyDescent="0.25">
      <c r="E18" s="8">
        <f t="shared" ref="E18:E26" si="44">E19+$B$2</f>
        <v>1.9999999999999998</v>
      </c>
      <c r="F18" s="11">
        <v>10</v>
      </c>
      <c r="G18" s="11">
        <v>10</v>
      </c>
      <c r="H18" s="11">
        <v>10</v>
      </c>
      <c r="I18" s="11">
        <v>10</v>
      </c>
      <c r="J18" s="11">
        <v>10</v>
      </c>
      <c r="K18" s="11">
        <v>10</v>
      </c>
      <c r="L18" s="11">
        <v>10</v>
      </c>
      <c r="M18" s="11">
        <v>10</v>
      </c>
      <c r="N18" s="11">
        <v>10</v>
      </c>
      <c r="O18" s="11">
        <v>10</v>
      </c>
      <c r="P18" s="11">
        <v>10</v>
      </c>
      <c r="Q18" s="11">
        <v>10</v>
      </c>
      <c r="R18" s="11">
        <v>10</v>
      </c>
      <c r="S18" s="11">
        <v>10</v>
      </c>
      <c r="T18" s="11">
        <v>10</v>
      </c>
      <c r="W18" s="1" t="s">
        <v>13</v>
      </c>
      <c r="X18" s="1">
        <v>0</v>
      </c>
      <c r="Y18" s="1">
        <f>X18+$B$2</f>
        <v>0.2</v>
      </c>
      <c r="Z18" s="1">
        <f t="shared" ref="Z18:AL18" si="45">Y18+$B$2</f>
        <v>0.4</v>
      </c>
      <c r="AA18" s="1">
        <f t="shared" si="45"/>
        <v>0.60000000000000009</v>
      </c>
      <c r="AB18" s="1">
        <f t="shared" si="45"/>
        <v>0.8</v>
      </c>
      <c r="AC18" s="1">
        <f t="shared" si="45"/>
        <v>1</v>
      </c>
      <c r="AD18" s="1">
        <f t="shared" si="45"/>
        <v>1.2</v>
      </c>
      <c r="AE18" s="1">
        <f t="shared" si="45"/>
        <v>1.4</v>
      </c>
      <c r="AF18" s="1">
        <f t="shared" si="45"/>
        <v>1.5999999999999999</v>
      </c>
      <c r="AG18" s="1">
        <f t="shared" si="45"/>
        <v>1.7999999999999998</v>
      </c>
      <c r="AH18" s="1">
        <f t="shared" si="45"/>
        <v>1.9999999999999998</v>
      </c>
      <c r="AI18" s="1">
        <f t="shared" si="45"/>
        <v>2.1999999999999997</v>
      </c>
      <c r="AJ18" s="1">
        <f t="shared" si="45"/>
        <v>2.4</v>
      </c>
      <c r="AK18" s="1">
        <f t="shared" si="45"/>
        <v>2.6</v>
      </c>
      <c r="AL18" s="1">
        <f t="shared" si="45"/>
        <v>2.8000000000000003</v>
      </c>
      <c r="AN18" s="9">
        <v>0</v>
      </c>
      <c r="AO18" s="9">
        <f>AN18+$B$2</f>
        <v>0.2</v>
      </c>
      <c r="AP18" s="9">
        <f t="shared" ref="AP18:BB18" si="46">AO18+$B$2</f>
        <v>0.4</v>
      </c>
      <c r="AQ18" s="9">
        <f t="shared" si="46"/>
        <v>0.60000000000000009</v>
      </c>
      <c r="AR18" s="9">
        <f t="shared" si="46"/>
        <v>0.8</v>
      </c>
      <c r="AS18" s="9">
        <f t="shared" si="46"/>
        <v>1</v>
      </c>
      <c r="AT18" s="9">
        <f t="shared" si="46"/>
        <v>1.2</v>
      </c>
      <c r="AU18" s="9">
        <f t="shared" si="46"/>
        <v>1.4</v>
      </c>
      <c r="AV18" s="9">
        <f t="shared" si="46"/>
        <v>1.5999999999999999</v>
      </c>
      <c r="AW18" s="9">
        <f t="shared" si="46"/>
        <v>1.7999999999999998</v>
      </c>
      <c r="AX18" s="9">
        <f t="shared" si="46"/>
        <v>1.9999999999999998</v>
      </c>
      <c r="AY18" s="9">
        <f t="shared" si="46"/>
        <v>2.1999999999999997</v>
      </c>
      <c r="AZ18" s="9">
        <f t="shared" si="46"/>
        <v>2.4</v>
      </c>
      <c r="BA18" s="9">
        <f t="shared" si="46"/>
        <v>2.6</v>
      </c>
      <c r="BB18" s="9">
        <f t="shared" si="46"/>
        <v>2.8000000000000003</v>
      </c>
    </row>
    <row r="19" spans="4:54" x14ac:dyDescent="0.25">
      <c r="E19" s="8">
        <f t="shared" si="44"/>
        <v>1.7999999999999998</v>
      </c>
      <c r="F19" s="11">
        <v>8</v>
      </c>
      <c r="G19" s="10">
        <v>8.0283446446366185</v>
      </c>
      <c r="H19" s="10">
        <v>8.0648681515861966</v>
      </c>
      <c r="I19" s="10">
        <v>8.1180729969834662</v>
      </c>
      <c r="J19" s="10">
        <v>8.1952171636329254</v>
      </c>
      <c r="K19" s="10">
        <v>8.2968869294864831</v>
      </c>
      <c r="L19" s="10">
        <v>8.410290670388207</v>
      </c>
      <c r="M19" s="10">
        <v>8.522149050978447</v>
      </c>
      <c r="N19" s="10">
        <v>8.6241900925606156</v>
      </c>
      <c r="O19" s="10">
        <v>8.7130063475733497</v>
      </c>
      <c r="P19" s="10">
        <v>8.7884287798932164</v>
      </c>
      <c r="Q19" s="10">
        <v>8.852108464208337</v>
      </c>
      <c r="R19" s="10">
        <v>8.906603756200564</v>
      </c>
      <c r="S19" s="10">
        <v>8.9548687862825673</v>
      </c>
      <c r="T19" s="11">
        <v>9</v>
      </c>
      <c r="W19" s="1" t="s">
        <v>14</v>
      </c>
      <c r="X19" s="7">
        <f>$E$5</f>
        <v>1.9999999999999998</v>
      </c>
      <c r="Y19" s="7">
        <f t="shared" ref="Y19:AL19" si="47">$E$5</f>
        <v>1.9999999999999998</v>
      </c>
      <c r="Z19" s="7">
        <f t="shared" si="47"/>
        <v>1.9999999999999998</v>
      </c>
      <c r="AA19" s="7">
        <f t="shared" si="47"/>
        <v>1.9999999999999998</v>
      </c>
      <c r="AB19" s="7">
        <f t="shared" si="47"/>
        <v>1.9999999999999998</v>
      </c>
      <c r="AC19" s="7">
        <f t="shared" si="47"/>
        <v>1.9999999999999998</v>
      </c>
      <c r="AD19" s="7">
        <f t="shared" si="47"/>
        <v>1.9999999999999998</v>
      </c>
      <c r="AE19" s="7">
        <f t="shared" si="47"/>
        <v>1.9999999999999998</v>
      </c>
      <c r="AF19" s="7">
        <f t="shared" si="47"/>
        <v>1.9999999999999998</v>
      </c>
      <c r="AG19" s="7">
        <f t="shared" si="47"/>
        <v>1.9999999999999998</v>
      </c>
      <c r="AH19" s="7">
        <f t="shared" si="47"/>
        <v>1.9999999999999998</v>
      </c>
      <c r="AI19" s="7">
        <f t="shared" si="47"/>
        <v>1.9999999999999998</v>
      </c>
      <c r="AJ19" s="7">
        <f t="shared" si="47"/>
        <v>1.9999999999999998</v>
      </c>
      <c r="AK19" s="7">
        <f t="shared" si="47"/>
        <v>1.9999999999999998</v>
      </c>
      <c r="AL19" s="7">
        <f t="shared" si="47"/>
        <v>1.9999999999999998</v>
      </c>
    </row>
    <row r="20" spans="4:54" x14ac:dyDescent="0.25">
      <c r="E20" s="8">
        <f t="shared" si="44"/>
        <v>1.5999999999999999</v>
      </c>
      <c r="F20" s="11">
        <v>6</v>
      </c>
      <c r="G20" s="10">
        <v>6.0485104289698821</v>
      </c>
      <c r="H20" s="10">
        <v>6.1130549688493172</v>
      </c>
      <c r="I20" s="10">
        <v>6.2122066797623905</v>
      </c>
      <c r="J20" s="10">
        <v>6.3659087381646469</v>
      </c>
      <c r="K20" s="10">
        <v>6.5820398984502706</v>
      </c>
      <c r="L20" s="10">
        <v>6.8221267191715942</v>
      </c>
      <c r="M20" s="10">
        <v>7.0541154634856964</v>
      </c>
      <c r="N20" s="10">
        <v>7.2616049958911679</v>
      </c>
      <c r="O20" s="10">
        <v>7.4394065437434875</v>
      </c>
      <c r="P20" s="10">
        <v>7.5886003314465631</v>
      </c>
      <c r="Q20" s="10">
        <v>7.7134013416527551</v>
      </c>
      <c r="R20" s="10">
        <v>7.8194377890090214</v>
      </c>
      <c r="S20" s="10">
        <v>7.9128713969669349</v>
      </c>
      <c r="T20" s="11">
        <v>8</v>
      </c>
      <c r="W20" s="1" t="s">
        <v>11</v>
      </c>
      <c r="X20" s="18">
        <f>F31</f>
        <v>10</v>
      </c>
      <c r="Y20" s="18">
        <f t="shared" ref="Y20:AL20" si="48">G31</f>
        <v>9.8582767743048993</v>
      </c>
      <c r="Z20" s="18">
        <f t="shared" si="48"/>
        <v>9.6756592369132477</v>
      </c>
      <c r="AA20" s="18">
        <f t="shared" si="48"/>
        <v>9.4096350062731116</v>
      </c>
      <c r="AB20" s="18">
        <f t="shared" si="48"/>
        <v>9.0239141692067548</v>
      </c>
      <c r="AC20" s="18">
        <f t="shared" si="48"/>
        <v>8.5155653344107485</v>
      </c>
      <c r="AD20" s="18">
        <f t="shared" si="48"/>
        <v>7.9485466254543446</v>
      </c>
      <c r="AE20" s="18">
        <f t="shared" si="48"/>
        <v>7.3892547169568523</v>
      </c>
      <c r="AF20" s="18">
        <f t="shared" si="48"/>
        <v>6.8790495069462931</v>
      </c>
      <c r="AG20" s="18">
        <f t="shared" si="48"/>
        <v>6.4349682297533484</v>
      </c>
      <c r="AH20" s="18">
        <f t="shared" si="48"/>
        <v>6.0578560709646911</v>
      </c>
      <c r="AI20" s="18">
        <f t="shared" si="48"/>
        <v>5.7394576528168351</v>
      </c>
      <c r="AJ20" s="18">
        <f t="shared" si="48"/>
        <v>5.466981200625094</v>
      </c>
      <c r="AK20" s="18">
        <f t="shared" si="48"/>
        <v>5.225656058540622</v>
      </c>
      <c r="AL20" s="18">
        <f t="shared" si="48"/>
        <v>5</v>
      </c>
    </row>
    <row r="21" spans="4:54" x14ac:dyDescent="0.25">
      <c r="E21" s="8">
        <f t="shared" si="44"/>
        <v>1.4</v>
      </c>
      <c r="F21" s="11">
        <v>4</v>
      </c>
      <c r="G21" s="10">
        <v>4.0526421055919997</v>
      </c>
      <c r="H21" s="10">
        <v>4.1266346221944961</v>
      </c>
      <c r="I21" s="10">
        <v>4.2517900265063417</v>
      </c>
      <c r="J21" s="10">
        <v>4.4741712288541624</v>
      </c>
      <c r="K21" s="10">
        <v>4.8432372317227745</v>
      </c>
      <c r="L21" s="10">
        <v>5.2420608782236009</v>
      </c>
      <c r="M21" s="10">
        <v>5.6105811276833002</v>
      </c>
      <c r="N21" s="10">
        <v>5.9287079302422629</v>
      </c>
      <c r="O21" s="10">
        <v>6.1944145466012808</v>
      </c>
      <c r="P21" s="10">
        <v>6.4131647064342969</v>
      </c>
      <c r="Q21" s="10">
        <v>6.5934588198020405</v>
      </c>
      <c r="R21" s="10">
        <v>6.7448746898961209</v>
      </c>
      <c r="S21" s="10">
        <v>6.8771790271662674</v>
      </c>
      <c r="T21" s="11">
        <v>7</v>
      </c>
      <c r="W21" s="1" t="s">
        <v>12</v>
      </c>
      <c r="X21" s="18">
        <f>F44</f>
        <v>0</v>
      </c>
      <c r="Y21" s="18">
        <f t="shared" ref="Y21:AL21" si="49">G44</f>
        <v>0</v>
      </c>
      <c r="Z21" s="18">
        <f t="shared" si="49"/>
        <v>0</v>
      </c>
      <c r="AA21" s="18">
        <f t="shared" si="49"/>
        <v>0</v>
      </c>
      <c r="AB21" s="18">
        <f t="shared" si="49"/>
        <v>0</v>
      </c>
      <c r="AC21" s="18">
        <f t="shared" si="49"/>
        <v>0</v>
      </c>
      <c r="AD21" s="18">
        <f t="shared" si="49"/>
        <v>0</v>
      </c>
      <c r="AE21" s="18">
        <f t="shared" si="49"/>
        <v>0</v>
      </c>
      <c r="AF21" s="18">
        <f t="shared" si="49"/>
        <v>0</v>
      </c>
      <c r="AG21" s="18">
        <f t="shared" si="49"/>
        <v>0</v>
      </c>
      <c r="AH21" s="18">
        <f t="shared" si="49"/>
        <v>0</v>
      </c>
      <c r="AI21" s="18">
        <f t="shared" si="49"/>
        <v>0</v>
      </c>
      <c r="AJ21" s="18">
        <f t="shared" si="49"/>
        <v>0</v>
      </c>
      <c r="AK21" s="18">
        <f t="shared" si="49"/>
        <v>0</v>
      </c>
      <c r="AL21" s="18">
        <f t="shared" si="49"/>
        <v>0</v>
      </c>
    </row>
    <row r="22" spans="4:54" x14ac:dyDescent="0.25">
      <c r="E22" s="8">
        <f t="shared" si="44"/>
        <v>1.2</v>
      </c>
      <c r="F22" s="11">
        <v>2</v>
      </c>
      <c r="G22" s="10">
        <v>2.0354233746195227</v>
      </c>
      <c r="H22" s="10">
        <v>2.0890513949828047</v>
      </c>
      <c r="I22" s="10">
        <v>2.1941475879226786</v>
      </c>
      <c r="J22" s="10">
        <v>2.4357489384636093</v>
      </c>
      <c r="K22" s="10">
        <v>3.0746769519598747</v>
      </c>
      <c r="L22" s="10">
        <v>3.6922984750983372</v>
      </c>
      <c r="M22" s="10">
        <v>4.2174402919193676</v>
      </c>
      <c r="N22" s="10">
        <v>4.6482311096005819</v>
      </c>
      <c r="O22" s="10">
        <v>4.9963790701570057</v>
      </c>
      <c r="P22" s="10">
        <v>5.2761851872355647</v>
      </c>
      <c r="Q22" s="10">
        <v>5.50239459412618</v>
      </c>
      <c r="R22" s="10">
        <v>5.6894231609758679</v>
      </c>
      <c r="S22" s="10">
        <v>5.8509700422934783</v>
      </c>
      <c r="T22" s="11">
        <v>6</v>
      </c>
      <c r="W22" s="1" t="s">
        <v>15</v>
      </c>
      <c r="X22" s="18">
        <f>F57</f>
        <v>10</v>
      </c>
      <c r="Y22" s="18">
        <f t="shared" ref="Y22:AL22" si="50">G57</f>
        <v>9.8582767743048993</v>
      </c>
      <c r="Z22" s="18">
        <f t="shared" si="50"/>
        <v>9.6756592369132477</v>
      </c>
      <c r="AA22" s="18">
        <f t="shared" si="50"/>
        <v>9.4096350062731116</v>
      </c>
      <c r="AB22" s="18">
        <f t="shared" si="50"/>
        <v>9.0239141692067548</v>
      </c>
      <c r="AC22" s="18">
        <f t="shared" si="50"/>
        <v>8.5155653344107485</v>
      </c>
      <c r="AD22" s="18">
        <f t="shared" si="50"/>
        <v>7.9485466254543446</v>
      </c>
      <c r="AE22" s="18">
        <f t="shared" si="50"/>
        <v>7.3892547169568523</v>
      </c>
      <c r="AF22" s="18">
        <f t="shared" si="50"/>
        <v>6.8790495069462931</v>
      </c>
      <c r="AG22" s="18">
        <f t="shared" si="50"/>
        <v>6.4349682297533484</v>
      </c>
      <c r="AH22" s="18">
        <f t="shared" si="50"/>
        <v>6.0578560709646911</v>
      </c>
      <c r="AI22" s="18">
        <f t="shared" si="50"/>
        <v>5.7394576528168351</v>
      </c>
      <c r="AJ22" s="18">
        <f t="shared" si="50"/>
        <v>5.466981200625094</v>
      </c>
      <c r="AK22" s="18">
        <f t="shared" si="50"/>
        <v>5.225656058540622</v>
      </c>
      <c r="AL22" s="18">
        <f t="shared" si="50"/>
        <v>5</v>
      </c>
    </row>
    <row r="23" spans="4:54" x14ac:dyDescent="0.25">
      <c r="E23" s="8">
        <f t="shared" si="44"/>
        <v>1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0">
        <v>1.3274231890832662</v>
      </c>
      <c r="L23" s="10">
        <v>2.2350158206024502</v>
      </c>
      <c r="M23" s="10">
        <v>2.9186505095593542</v>
      </c>
      <c r="N23" s="10">
        <v>3.4503972128945914</v>
      </c>
      <c r="O23" s="10">
        <v>3.8666855063401755</v>
      </c>
      <c r="P23" s="10">
        <v>4.1928024479233219</v>
      </c>
      <c r="Q23" s="10">
        <v>4.4505112666921081</v>
      </c>
      <c r="R23" s="10">
        <v>4.6594533620403888</v>
      </c>
      <c r="S23" s="10">
        <v>4.8372780037441734</v>
      </c>
      <c r="T23" s="11">
        <v>5</v>
      </c>
      <c r="W23" s="1" t="s">
        <v>16</v>
      </c>
      <c r="X23" s="1">
        <f>B5</f>
        <v>101325</v>
      </c>
      <c r="Y23" s="1">
        <f>(X23+(X22^2)/2)-(Y22^2)/2</f>
        <v>101326.4071895206</v>
      </c>
      <c r="Z23" s="1">
        <f t="shared" ref="Z23" si="51">(Y23+(Y22^2)/2)-(Z22^2)/2</f>
        <v>101328.19080916556</v>
      </c>
      <c r="AA23" s="1">
        <f t="shared" ref="AA23" si="52">(Z23+(Z22^2)/2)-(AA22^2)/2</f>
        <v>101330.72938452435</v>
      </c>
      <c r="AB23" s="1">
        <f t="shared" ref="AB23" si="53">(AA23+(AA22^2)/2)-(AB22^2)/2</f>
        <v>101334.28448653339</v>
      </c>
      <c r="AC23" s="1">
        <f t="shared" ref="AC23" si="54">(AB23+(AB22^2)/2)-(AC22^2)/2</f>
        <v>101338.74257351769</v>
      </c>
      <c r="AD23" s="1">
        <f t="shared" ref="AD23" si="55">(AC23+(AC22^2)/2)-(AD22^2)/2</f>
        <v>101343.41030327149</v>
      </c>
      <c r="AE23" s="1">
        <f t="shared" ref="AE23" si="56">(AD23+(AD22^2)/2)-(AE22^2)/2</f>
        <v>101347.69945736397</v>
      </c>
      <c r="AF23" s="1">
        <f t="shared" ref="AF23" si="57">(AE23+(AE22^2)/2)-(AF22^2)/2</f>
        <v>101351.3393389405</v>
      </c>
      <c r="AG23" s="1">
        <f t="shared" ref="AG23" si="58">(AF23+(AF22^2)/2)-(AG22^2)/2</f>
        <v>101354.29559194103</v>
      </c>
      <c r="AH23" s="1">
        <f t="shared" ref="AH23" si="59">(AG23+(AG22^2)/2)-(AH22^2)/2</f>
        <v>101356.65118991173</v>
      </c>
      <c r="AI23" s="1">
        <f t="shared" ref="AI23" si="60">(AH23+(AH22^2)/2)-(AI22^2)/2</f>
        <v>101358.52931292576</v>
      </c>
      <c r="AJ23" s="1">
        <f t="shared" ref="AJ23" si="61">(AI23+(AI22^2)/2)-(AJ22^2)/2</f>
        <v>101360.05605827601</v>
      </c>
      <c r="AK23" s="1">
        <f t="shared" ref="AK23" si="62">(AJ23+(AJ22^2)/2)-(AK22^2)/2</f>
        <v>101361.34625937892</v>
      </c>
      <c r="AL23" s="1">
        <f t="shared" ref="AL23" si="63">(AK23+(AK22^2)/2)-(AL22^2)/2</f>
        <v>101362.5</v>
      </c>
    </row>
    <row r="24" spans="4:54" x14ac:dyDescent="0.25">
      <c r="E24" s="8">
        <f t="shared" si="44"/>
        <v>0.8</v>
      </c>
      <c r="K24" s="11">
        <v>0</v>
      </c>
      <c r="L24" s="10">
        <v>1.0016911412800276</v>
      </c>
      <c r="M24" s="10">
        <v>1.7717487633342408</v>
      </c>
      <c r="N24" s="10">
        <v>2.3680217873172524</v>
      </c>
      <c r="O24" s="10">
        <v>2.8271633648453327</v>
      </c>
      <c r="P24" s="10">
        <v>3.1778278987093311</v>
      </c>
      <c r="Q24" s="10">
        <v>3.4473947238362554</v>
      </c>
      <c r="R24" s="10">
        <v>3.6606010604537653</v>
      </c>
      <c r="S24" s="10">
        <v>3.8386886347557412</v>
      </c>
      <c r="T24" s="11">
        <v>4</v>
      </c>
      <c r="W24" s="1" t="s">
        <v>17</v>
      </c>
      <c r="X24" s="1">
        <f>(X23-$B$5)/(($B$4^2)/2)</f>
        <v>0</v>
      </c>
      <c r="Y24" s="18">
        <f t="shared" ref="Y24" si="64">(Y23-$B$5)/(($B$4^2)/2)</f>
        <v>2.8143790411995724E-2</v>
      </c>
      <c r="Z24" s="18">
        <f t="shared" ref="Z24" si="65">(Z23-$B$5)/(($B$4^2)/2)</f>
        <v>6.3816183311282651E-2</v>
      </c>
      <c r="AA24" s="18">
        <f t="shared" ref="AA24" si="66">(AA23-$B$5)/(($B$4^2)/2)</f>
        <v>0.11458769048709655</v>
      </c>
      <c r="AB24" s="18">
        <f t="shared" ref="AB24" si="67">(AB23-$B$5)/(($B$4^2)/2)</f>
        <v>0.18568973066780017</v>
      </c>
      <c r="AC24" s="18">
        <f t="shared" ref="AC24" si="68">(AC23-$B$5)/(($B$4^2)/2)</f>
        <v>0.27485147035389673</v>
      </c>
      <c r="AD24" s="18">
        <f t="shared" ref="AD24" si="69">(AD23-$B$5)/(($B$4^2)/2)</f>
        <v>0.36820606542984025</v>
      </c>
      <c r="AE24" s="18">
        <f t="shared" ref="AE24" si="70">(AE23-$B$5)/(($B$4^2)/2)</f>
        <v>0.45398914727935336</v>
      </c>
      <c r="AF24" s="18">
        <f t="shared" ref="AF24" si="71">(AF23-$B$5)/(($B$4^2)/2)</f>
        <v>0.52678677880991021</v>
      </c>
      <c r="AG24" s="18">
        <f t="shared" ref="AG24" si="72">(AG23-$B$5)/(($B$4^2)/2)</f>
        <v>0.5859118388206116</v>
      </c>
      <c r="AH24" s="18">
        <f t="shared" ref="AH24" si="73">(AH23-$B$5)/(($B$4^2)/2)</f>
        <v>0.63302379823464439</v>
      </c>
      <c r="AI24" s="18">
        <f t="shared" ref="AI24" si="74">(AI23-$B$5)/(($B$4^2)/2)</f>
        <v>0.67058625851524989</v>
      </c>
      <c r="AJ24" s="18">
        <f t="shared" ref="AJ24" si="75">(AJ23-$B$5)/(($B$4^2)/2)</f>
        <v>0.70112116552016235</v>
      </c>
      <c r="AK24" s="18">
        <f t="shared" ref="AK24" si="76">(AK23-$B$5)/(($B$4^2)/2)</f>
        <v>0.72692518757830837</v>
      </c>
      <c r="AL24" s="18">
        <f t="shared" ref="AL24" si="77">(AL23-$B$5)/(($B$4^2)/2)</f>
        <v>0.75</v>
      </c>
    </row>
    <row r="25" spans="4:54" x14ac:dyDescent="0.25">
      <c r="E25" s="8">
        <f t="shared" si="44"/>
        <v>0.60000000000000009</v>
      </c>
      <c r="L25" s="11">
        <v>0</v>
      </c>
      <c r="M25" s="10">
        <v>0.79863165113705437</v>
      </c>
      <c r="N25" s="10">
        <v>1.4227778605340753</v>
      </c>
      <c r="O25" s="10">
        <v>1.8961183260978016</v>
      </c>
      <c r="P25" s="10">
        <v>2.2439511207420249</v>
      </c>
      <c r="Q25" s="10">
        <v>2.5006387231603604</v>
      </c>
      <c r="R25" s="10">
        <v>2.6968675628275713</v>
      </c>
      <c r="S25" s="10">
        <v>2.85687549627611</v>
      </c>
      <c r="T25" s="11">
        <v>3</v>
      </c>
    </row>
    <row r="26" spans="4:54" x14ac:dyDescent="0.25">
      <c r="E26" s="8">
        <f t="shared" si="44"/>
        <v>0.4</v>
      </c>
      <c r="M26" s="11">
        <v>0</v>
      </c>
      <c r="N26" s="10">
        <v>0.62833971203020922</v>
      </c>
      <c r="O26" s="10">
        <v>1.09058100463137</v>
      </c>
      <c r="P26" s="10">
        <v>1.401219582748934</v>
      </c>
      <c r="Q26" s="10">
        <v>1.614341530369785</v>
      </c>
      <c r="R26" s="10">
        <v>1.7693550043487076</v>
      </c>
      <c r="S26" s="10">
        <v>1.8919458058747092</v>
      </c>
      <c r="T26" s="11">
        <v>2</v>
      </c>
    </row>
    <row r="27" spans="4:54" x14ac:dyDescent="0.25">
      <c r="E27" s="8">
        <f>E28+$B$2</f>
        <v>0.2</v>
      </c>
      <c r="N27" s="11">
        <v>0</v>
      </c>
      <c r="O27" s="10">
        <v>0.43664642531333753</v>
      </c>
      <c r="P27" s="10">
        <v>0.65600470847209691</v>
      </c>
      <c r="Q27" s="10">
        <v>0.78615284134332397</v>
      </c>
      <c r="R27" s="10">
        <v>0.87426514230594765</v>
      </c>
      <c r="S27" s="10">
        <v>0.94155273537501172</v>
      </c>
      <c r="T27" s="11">
        <v>1</v>
      </c>
    </row>
    <row r="28" spans="4:54" x14ac:dyDescent="0.25">
      <c r="E28" s="8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</row>
    <row r="29" spans="4:54" x14ac:dyDescent="0.25">
      <c r="F29" s="9">
        <v>0</v>
      </c>
      <c r="G29" s="9">
        <f>F29+$B$2</f>
        <v>0.2</v>
      </c>
      <c r="H29" s="9">
        <f t="shared" ref="H29:T29" si="78">G29+$B$2</f>
        <v>0.4</v>
      </c>
      <c r="I29" s="9">
        <f t="shared" si="78"/>
        <v>0.60000000000000009</v>
      </c>
      <c r="J29" s="9">
        <f t="shared" si="78"/>
        <v>0.8</v>
      </c>
      <c r="K29" s="9">
        <f t="shared" si="78"/>
        <v>1</v>
      </c>
      <c r="L29" s="9">
        <f t="shared" si="78"/>
        <v>1.2</v>
      </c>
      <c r="M29" s="9">
        <f t="shared" si="78"/>
        <v>1.4</v>
      </c>
      <c r="N29" s="9">
        <f t="shared" si="78"/>
        <v>1.5999999999999999</v>
      </c>
      <c r="O29" s="9">
        <f t="shared" si="78"/>
        <v>1.7999999999999998</v>
      </c>
      <c r="P29" s="9">
        <f t="shared" si="78"/>
        <v>1.9999999999999998</v>
      </c>
      <c r="Q29" s="9">
        <f t="shared" si="78"/>
        <v>2.1999999999999997</v>
      </c>
      <c r="R29" s="9">
        <f t="shared" si="78"/>
        <v>2.4</v>
      </c>
      <c r="S29" s="9">
        <f t="shared" si="78"/>
        <v>2.6</v>
      </c>
      <c r="T29" s="9">
        <f t="shared" si="78"/>
        <v>2.8000000000000003</v>
      </c>
    </row>
    <row r="31" spans="4:54" x14ac:dyDescent="0.25">
      <c r="D31" s="16" t="s">
        <v>11</v>
      </c>
      <c r="E31" s="8">
        <f t="shared" ref="E31:E39" si="79">E32+$B$2</f>
        <v>1.9999999999999998</v>
      </c>
      <c r="F31" s="11">
        <f t="shared" ref="F31:T31" si="80">(F5-F6)/$B$2</f>
        <v>10</v>
      </c>
      <c r="G31" s="11">
        <f t="shared" si="80"/>
        <v>9.8582767743048993</v>
      </c>
      <c r="H31" s="11">
        <f t="shared" si="80"/>
        <v>9.6756592369132477</v>
      </c>
      <c r="I31" s="11">
        <f t="shared" si="80"/>
        <v>9.4096350062731116</v>
      </c>
      <c r="J31" s="11">
        <f t="shared" si="80"/>
        <v>9.0239141692067548</v>
      </c>
      <c r="K31" s="11">
        <f t="shared" si="80"/>
        <v>8.5155653344107485</v>
      </c>
      <c r="L31" s="11">
        <f t="shared" si="80"/>
        <v>7.9485466254543446</v>
      </c>
      <c r="M31" s="11">
        <f t="shared" si="80"/>
        <v>7.3892547169568523</v>
      </c>
      <c r="N31" s="11">
        <f t="shared" si="80"/>
        <v>6.8790495069462931</v>
      </c>
      <c r="O31" s="11">
        <f t="shared" si="80"/>
        <v>6.4349682297533484</v>
      </c>
      <c r="P31" s="11">
        <f t="shared" si="80"/>
        <v>6.0578560709646911</v>
      </c>
      <c r="Q31" s="11">
        <f t="shared" si="80"/>
        <v>5.7394576528168351</v>
      </c>
      <c r="R31" s="11">
        <f t="shared" si="80"/>
        <v>5.466981200625094</v>
      </c>
      <c r="S31" s="11">
        <f t="shared" si="80"/>
        <v>5.225656058540622</v>
      </c>
      <c r="T31" s="11">
        <f t="shared" si="80"/>
        <v>5</v>
      </c>
    </row>
    <row r="32" spans="4:54" x14ac:dyDescent="0.25">
      <c r="E32" s="8">
        <f t="shared" si="79"/>
        <v>1.7999999999999998</v>
      </c>
      <c r="F32" s="10">
        <f>(F5-F7)/(2*$B$2)</f>
        <v>10</v>
      </c>
      <c r="G32" s="10">
        <f t="shared" ref="G32:T32" si="81">(G5-G7)/(2*$B$2)</f>
        <v>9.8787239255762884</v>
      </c>
      <c r="H32" s="10">
        <f t="shared" si="81"/>
        <v>9.7173625734293978</v>
      </c>
      <c r="I32" s="10">
        <f t="shared" si="81"/>
        <v>9.4694832934351414</v>
      </c>
      <c r="J32" s="10">
        <f t="shared" si="81"/>
        <v>9.0852281433126549</v>
      </c>
      <c r="K32" s="10">
        <f t="shared" si="81"/>
        <v>8.5449002384090633</v>
      </c>
      <c r="L32" s="10">
        <f t="shared" si="81"/>
        <v>7.9446831809076413</v>
      </c>
      <c r="M32" s="10">
        <f t="shared" si="81"/>
        <v>7.3647113164221807</v>
      </c>
      <c r="N32" s="10">
        <f t="shared" si="81"/>
        <v>6.8459874812299626</v>
      </c>
      <c r="O32" s="10">
        <f t="shared" si="81"/>
        <v>6.4014836115547746</v>
      </c>
      <c r="P32" s="10">
        <f t="shared" si="81"/>
        <v>6.0284991426726515</v>
      </c>
      <c r="Q32" s="10">
        <f t="shared" si="81"/>
        <v>5.7164966222087727</v>
      </c>
      <c r="R32" s="10">
        <f t="shared" si="81"/>
        <v>5.4514055095522647</v>
      </c>
      <c r="S32" s="10">
        <f t="shared" si="81"/>
        <v>5.2178214984638389</v>
      </c>
      <c r="T32" s="10">
        <f t="shared" si="81"/>
        <v>5</v>
      </c>
    </row>
    <row r="33" spans="4:20" x14ac:dyDescent="0.25">
      <c r="E33" s="8">
        <f t="shared" si="79"/>
        <v>1.5999999999999999</v>
      </c>
      <c r="F33" s="10">
        <f t="shared" ref="F33:T33" si="82">(F6-F8)/(2*$B$2)</f>
        <v>10</v>
      </c>
      <c r="G33" s="10">
        <f t="shared" si="82"/>
        <v>9.9392563467326109</v>
      </c>
      <c r="H33" s="10">
        <f t="shared" si="82"/>
        <v>9.8455838215868354</v>
      </c>
      <c r="I33" s="10">
        <f t="shared" si="82"/>
        <v>9.6657074226548634</v>
      </c>
      <c r="J33" s="10">
        <f t="shared" si="82"/>
        <v>9.3026148311107644</v>
      </c>
      <c r="K33" s="10">
        <f t="shared" si="82"/>
        <v>8.634124234364684</v>
      </c>
      <c r="L33" s="10">
        <f t="shared" si="82"/>
        <v>7.9205744662253226</v>
      </c>
      <c r="M33" s="10">
        <f t="shared" si="82"/>
        <v>7.278919789102245</v>
      </c>
      <c r="N33" s="10">
        <f t="shared" si="82"/>
        <v>6.7387053841666456</v>
      </c>
      <c r="O33" s="10">
        <f t="shared" si="82"/>
        <v>6.2964794785126683</v>
      </c>
      <c r="P33" s="10">
        <f t="shared" si="82"/>
        <v>5.9381601613392476</v>
      </c>
      <c r="Q33" s="10">
        <f t="shared" si="82"/>
        <v>5.6466240910232353</v>
      </c>
      <c r="R33" s="10">
        <f t="shared" si="82"/>
        <v>5.4043226515917038</v>
      </c>
      <c r="S33" s="10">
        <f t="shared" si="82"/>
        <v>5.1942243900068537</v>
      </c>
      <c r="T33" s="10">
        <f t="shared" si="82"/>
        <v>5</v>
      </c>
    </row>
    <row r="34" spans="4:20" x14ac:dyDescent="0.25">
      <c r="E34" s="8">
        <f t="shared" si="79"/>
        <v>1.4</v>
      </c>
      <c r="F34" s="10">
        <f t="shared" ref="F34:T34" si="83">(F7-F9)/(2*$B$2)</f>
        <v>10</v>
      </c>
      <c r="G34" s="10">
        <f t="shared" si="83"/>
        <v>10.032717636564458</v>
      </c>
      <c r="H34" s="10">
        <f t="shared" si="83"/>
        <v>10.060008936110165</v>
      </c>
      <c r="I34" s="10">
        <f t="shared" si="83"/>
        <v>10.045147731594385</v>
      </c>
      <c r="J34" s="10">
        <f t="shared" si="83"/>
        <v>9.8253995012268955</v>
      </c>
      <c r="K34" s="10">
        <f t="shared" si="83"/>
        <v>8.768407365110944</v>
      </c>
      <c r="L34" s="10">
        <f t="shared" si="83"/>
        <v>7.8245706049015489</v>
      </c>
      <c r="M34" s="10">
        <f t="shared" si="83"/>
        <v>7.0916879198643352</v>
      </c>
      <c r="N34" s="10">
        <f t="shared" si="83"/>
        <v>6.5334347030117712</v>
      </c>
      <c r="O34" s="10">
        <f t="shared" si="83"/>
        <v>6.1075686698342224</v>
      </c>
      <c r="P34" s="10">
        <f t="shared" si="83"/>
        <v>5.7810378456768436</v>
      </c>
      <c r="Q34" s="10">
        <f t="shared" si="83"/>
        <v>5.5275168561002381</v>
      </c>
      <c r="R34" s="10">
        <f t="shared" si="83"/>
        <v>5.3250365602251293</v>
      </c>
      <c r="S34" s="10">
        <f t="shared" si="83"/>
        <v>5.1547533816072173</v>
      </c>
      <c r="T34" s="10">
        <f t="shared" si="83"/>
        <v>5</v>
      </c>
    </row>
    <row r="35" spans="4:20" x14ac:dyDescent="0.25">
      <c r="E35" s="8">
        <f t="shared" si="79"/>
        <v>1.2</v>
      </c>
      <c r="F35" s="10">
        <f t="shared" ref="F35:O36" si="84">(F8-F10)/(2*$B$2)</f>
        <v>10</v>
      </c>
      <c r="G35" s="10">
        <f t="shared" si="84"/>
        <v>10.131605266114937</v>
      </c>
      <c r="H35" s="10">
        <f t="shared" si="84"/>
        <v>10.316586559956539</v>
      </c>
      <c r="I35" s="10">
        <f t="shared" si="84"/>
        <v>10.62947507420858</v>
      </c>
      <c r="J35" s="10">
        <f t="shared" si="84"/>
        <v>11.185428084285856</v>
      </c>
      <c r="K35" s="10">
        <f t="shared" si="84"/>
        <v>8.789535115578488</v>
      </c>
      <c r="L35" s="10">
        <f t="shared" si="84"/>
        <v>7.5176126491593882</v>
      </c>
      <c r="M35" s="10">
        <f t="shared" si="84"/>
        <v>6.7298265469501724</v>
      </c>
      <c r="N35" s="10">
        <f t="shared" si="84"/>
        <v>6.1957767918493554</v>
      </c>
      <c r="O35" s="10">
        <f t="shared" si="84"/>
        <v>5.8193225967229987</v>
      </c>
      <c r="P35" s="10">
        <f t="shared" ref="P35:T35" si="85">(P8-P10)/(2*$B$2)</f>
        <v>5.5509056413176694</v>
      </c>
      <c r="Q35" s="10">
        <f t="shared" si="85"/>
        <v>5.3573688776145056</v>
      </c>
      <c r="R35" s="10">
        <f t="shared" si="85"/>
        <v>5.2135533156795528</v>
      </c>
      <c r="S35" s="10">
        <f t="shared" si="85"/>
        <v>5.09975255629183</v>
      </c>
      <c r="T35" s="10">
        <f t="shared" si="85"/>
        <v>5</v>
      </c>
    </row>
    <row r="36" spans="4:20" x14ac:dyDescent="0.25">
      <c r="E36" s="8">
        <f t="shared" si="79"/>
        <v>1</v>
      </c>
      <c r="F36" s="11">
        <f t="shared" ref="F36:T41" si="86">(F9-F10)/$B$2</f>
        <v>10</v>
      </c>
      <c r="G36" s="11">
        <f t="shared" si="86"/>
        <v>10.177116875718506</v>
      </c>
      <c r="H36" s="11">
        <f t="shared" si="86"/>
        <v>10.44525698092087</v>
      </c>
      <c r="I36" s="11">
        <f t="shared" si="86"/>
        <v>10.970737949940945</v>
      </c>
      <c r="J36" s="11">
        <f t="shared" si="86"/>
        <v>12.178744710920894</v>
      </c>
      <c r="K36" s="10">
        <f t="shared" si="84"/>
        <v>7.6866923964799909</v>
      </c>
      <c r="L36" s="10">
        <f t="shared" ref="L36:O36" si="87">(L9-L11)/(2*$B$2)</f>
        <v>6.7265183492303766</v>
      </c>
      <c r="M36" s="10">
        <f t="shared" si="87"/>
        <v>6.114228832904927</v>
      </c>
      <c r="N36" s="10">
        <f t="shared" si="87"/>
        <v>5.7005233147531147</v>
      </c>
      <c r="O36" s="10">
        <f t="shared" si="87"/>
        <v>5.4230392695706531</v>
      </c>
      <c r="P36" s="10">
        <f t="shared" ref="P36:T36" si="88">(P9-P11)/(2*$B$2)</f>
        <v>5.2458932258086683</v>
      </c>
      <c r="Q36" s="10">
        <f t="shared" si="88"/>
        <v>5.137499678556261</v>
      </c>
      <c r="R36" s="10">
        <f t="shared" si="88"/>
        <v>5.0720552530601326</v>
      </c>
      <c r="S36" s="10">
        <f t="shared" si="88"/>
        <v>5.0307035196326622</v>
      </c>
      <c r="T36" s="10">
        <f t="shared" si="88"/>
        <v>5</v>
      </c>
    </row>
    <row r="37" spans="4:20" x14ac:dyDescent="0.25">
      <c r="E37" s="8">
        <f t="shared" si="79"/>
        <v>0.8</v>
      </c>
      <c r="J37" s="10"/>
      <c r="K37" s="11">
        <f t="shared" si="86"/>
        <v>6.6371159657029066</v>
      </c>
      <c r="L37" s="10">
        <f t="shared" ref="L37:O37" si="89">(L10-L12)/(2*$B$2)</f>
        <v>5.587539571888116</v>
      </c>
      <c r="M37" s="10">
        <f t="shared" si="89"/>
        <v>5.3000471655514581</v>
      </c>
      <c r="N37" s="10">
        <f t="shared" si="89"/>
        <v>5.0690483976469034</v>
      </c>
      <c r="O37" s="10">
        <f t="shared" si="89"/>
        <v>4.9264179656671558</v>
      </c>
      <c r="P37" s="10">
        <f t="shared" ref="P37:T37" si="90">(P10-P12)/(2*$B$2)</f>
        <v>4.8721283301629699</v>
      </c>
      <c r="Q37" s="10">
        <f t="shared" si="90"/>
        <v>4.874681368844068</v>
      </c>
      <c r="R37" s="10">
        <f t="shared" si="90"/>
        <v>4.9064645047668565</v>
      </c>
      <c r="S37" s="10">
        <f t="shared" si="90"/>
        <v>4.9510062722697405</v>
      </c>
      <c r="T37" s="10">
        <f t="shared" si="90"/>
        <v>5</v>
      </c>
    </row>
    <row r="38" spans="4:20" x14ac:dyDescent="0.25">
      <c r="E38" s="8">
        <f t="shared" si="79"/>
        <v>0.60000000000000009</v>
      </c>
      <c r="K38" s="10"/>
      <c r="L38" s="11">
        <f t="shared" si="86"/>
        <v>5.0084557299208639</v>
      </c>
      <c r="M38" s="10">
        <f t="shared" ref="M38:O38" si="91">(M11-M13)/(2*$B$2)</f>
        <v>4.4293719308085553</v>
      </c>
      <c r="N38" s="10">
        <f t="shared" si="91"/>
        <v>4.3492052102767476</v>
      </c>
      <c r="O38" s="10">
        <f t="shared" si="91"/>
        <v>4.3414559201714225</v>
      </c>
      <c r="P38" s="10">
        <f t="shared" ref="P38:T38" si="92">(P11-P13)/(2*$B$2)</f>
        <v>4.4415208082072866</v>
      </c>
      <c r="Q38" s="10">
        <f t="shared" si="92"/>
        <v>4.5826329983838976</v>
      </c>
      <c r="R38" s="10">
        <f t="shared" si="92"/>
        <v>4.728115151301215</v>
      </c>
      <c r="S38" s="10">
        <f t="shared" si="92"/>
        <v>4.8668570777963867</v>
      </c>
      <c r="T38" s="10">
        <f t="shared" si="92"/>
        <v>5</v>
      </c>
    </row>
    <row r="39" spans="4:20" x14ac:dyDescent="0.25">
      <c r="E39" s="8">
        <f t="shared" si="79"/>
        <v>0.4</v>
      </c>
      <c r="L39" s="10"/>
      <c r="M39" s="11">
        <f t="shared" si="86"/>
        <v>3.9931582798353946</v>
      </c>
      <c r="N39" s="10">
        <f t="shared" ref="N39:O39" si="93">(N12-N14)/(2*$B$2)</f>
        <v>3.5569446728639487</v>
      </c>
      <c r="O39" s="10">
        <f t="shared" si="93"/>
        <v>3.6486797735308349</v>
      </c>
      <c r="P39" s="10">
        <f t="shared" ref="P39:T39" si="94">(P12-P14)/(2*$B$2)</f>
        <v>3.9698660508192694</v>
      </c>
      <c r="Q39" s="10">
        <f t="shared" si="94"/>
        <v>4.286214722892379</v>
      </c>
      <c r="R39" s="10">
        <f t="shared" si="94"/>
        <v>4.5565060644824369</v>
      </c>
      <c r="S39" s="10">
        <f t="shared" si="94"/>
        <v>4.7883069095483526</v>
      </c>
      <c r="T39" s="10">
        <f t="shared" si="94"/>
        <v>5</v>
      </c>
    </row>
    <row r="40" spans="4:20" x14ac:dyDescent="0.25">
      <c r="E40" s="8">
        <f>E41+$B$2</f>
        <v>0.2</v>
      </c>
      <c r="L40" s="10"/>
      <c r="M40" s="10"/>
      <c r="N40" s="11">
        <f t="shared" si="86"/>
        <v>3.1416985814568066</v>
      </c>
      <c r="O40" s="10">
        <f t="shared" ref="O40:T40" si="95">(O13-O15)/(2*$B$2)</f>
        <v>2.7264525288689265</v>
      </c>
      <c r="P40" s="10">
        <f t="shared" si="95"/>
        <v>3.5030489776345477</v>
      </c>
      <c r="Q40" s="10">
        <f t="shared" si="95"/>
        <v>4.0358538447508288</v>
      </c>
      <c r="R40" s="10">
        <f t="shared" si="95"/>
        <v>4.4233875258612576</v>
      </c>
      <c r="S40" s="10">
        <f t="shared" si="95"/>
        <v>4.7298645224998932</v>
      </c>
      <c r="T40" s="10">
        <f t="shared" si="95"/>
        <v>5</v>
      </c>
    </row>
    <row r="41" spans="4:20" x14ac:dyDescent="0.25">
      <c r="E41" s="8">
        <v>0</v>
      </c>
      <c r="N41" s="10"/>
      <c r="O41" s="11">
        <f t="shared" si="86"/>
        <v>2.1832321413793334</v>
      </c>
      <c r="P41" s="11">
        <f t="shared" si="86"/>
        <v>3.2800235617569942</v>
      </c>
      <c r="Q41" s="11">
        <f t="shared" si="86"/>
        <v>3.9307642264347868</v>
      </c>
      <c r="R41" s="11">
        <f t="shared" si="86"/>
        <v>4.3713257263338035</v>
      </c>
      <c r="S41" s="11">
        <f t="shared" si="86"/>
        <v>4.7077636852258209</v>
      </c>
      <c r="T41" s="11">
        <f t="shared" si="86"/>
        <v>5</v>
      </c>
    </row>
    <row r="42" spans="4:20" x14ac:dyDescent="0.25">
      <c r="F42" s="9">
        <v>0</v>
      </c>
      <c r="G42" s="9">
        <f>F42+$B$2</f>
        <v>0.2</v>
      </c>
      <c r="H42" s="9">
        <f t="shared" ref="H42:T42" si="96">G42+$B$2</f>
        <v>0.4</v>
      </c>
      <c r="I42" s="9">
        <f t="shared" si="96"/>
        <v>0.60000000000000009</v>
      </c>
      <c r="J42" s="9">
        <f t="shared" si="96"/>
        <v>0.8</v>
      </c>
      <c r="K42" s="9">
        <f t="shared" si="96"/>
        <v>1</v>
      </c>
      <c r="L42" s="9">
        <f t="shared" si="96"/>
        <v>1.2</v>
      </c>
      <c r="M42" s="9">
        <f t="shared" si="96"/>
        <v>1.4</v>
      </c>
      <c r="N42" s="9">
        <f t="shared" si="96"/>
        <v>1.5999999999999999</v>
      </c>
      <c r="O42" s="9">
        <f t="shared" si="96"/>
        <v>1.7999999999999998</v>
      </c>
      <c r="P42" s="9">
        <f t="shared" si="96"/>
        <v>1.9999999999999998</v>
      </c>
      <c r="Q42" s="9">
        <f t="shared" si="96"/>
        <v>2.1999999999999997</v>
      </c>
      <c r="R42" s="9">
        <f t="shared" si="96"/>
        <v>2.4</v>
      </c>
      <c r="S42" s="9">
        <f t="shared" si="96"/>
        <v>2.6</v>
      </c>
      <c r="T42" s="9">
        <f t="shared" si="96"/>
        <v>2.8000000000000003</v>
      </c>
    </row>
    <row r="44" spans="4:20" x14ac:dyDescent="0.25">
      <c r="D44" s="16" t="s">
        <v>12</v>
      </c>
      <c r="E44" s="8">
        <f t="shared" ref="E44:E52" si="97">E45+$B$2</f>
        <v>1.9999999999999998</v>
      </c>
      <c r="F44" s="11">
        <f>-(G18-F18)/$B$2</f>
        <v>0</v>
      </c>
      <c r="G44" s="11">
        <f t="shared" ref="G44:S44" si="98">-(H18-G18)/$B$2</f>
        <v>0</v>
      </c>
      <c r="H44" s="11">
        <f t="shared" si="98"/>
        <v>0</v>
      </c>
      <c r="I44" s="11">
        <f t="shared" si="98"/>
        <v>0</v>
      </c>
      <c r="J44" s="11">
        <f t="shared" si="98"/>
        <v>0</v>
      </c>
      <c r="K44" s="11">
        <f t="shared" si="98"/>
        <v>0</v>
      </c>
      <c r="L44" s="11">
        <f t="shared" si="98"/>
        <v>0</v>
      </c>
      <c r="M44" s="11">
        <f t="shared" si="98"/>
        <v>0</v>
      </c>
      <c r="N44" s="11">
        <f t="shared" si="98"/>
        <v>0</v>
      </c>
      <c r="O44" s="11">
        <f t="shared" si="98"/>
        <v>0</v>
      </c>
      <c r="P44" s="11">
        <f t="shared" si="98"/>
        <v>0</v>
      </c>
      <c r="Q44" s="11">
        <f t="shared" si="98"/>
        <v>0</v>
      </c>
      <c r="R44" s="11">
        <f t="shared" si="98"/>
        <v>0</v>
      </c>
      <c r="S44" s="11">
        <f t="shared" si="98"/>
        <v>0</v>
      </c>
      <c r="T44" s="11">
        <f t="shared" ref="T44:T53" si="99">-(T18-S18)/$B$2</f>
        <v>0</v>
      </c>
    </row>
    <row r="45" spans="4:20" x14ac:dyDescent="0.25">
      <c r="E45" s="8">
        <f t="shared" si="97"/>
        <v>1.7999999999999998</v>
      </c>
      <c r="F45" s="15">
        <f t="shared" ref="F45:M52" si="100">-(G19-F19)/$B$2</f>
        <v>-0.14172322318309227</v>
      </c>
      <c r="G45" s="10">
        <f t="shared" ref="G45:S47" si="101">-(H19-F19)/(2*$B$2)</f>
        <v>-0.16217037896549158</v>
      </c>
      <c r="H45" s="10">
        <f t="shared" si="101"/>
        <v>-0.22432088086711932</v>
      </c>
      <c r="I45" s="10">
        <f t="shared" si="101"/>
        <v>-0.32587253011682193</v>
      </c>
      <c r="J45" s="10">
        <f t="shared" si="101"/>
        <v>-0.44703483125754229</v>
      </c>
      <c r="K45" s="10">
        <f t="shared" si="101"/>
        <v>-0.53768376688820396</v>
      </c>
      <c r="L45" s="10">
        <f t="shared" si="101"/>
        <v>-0.56315530372990974</v>
      </c>
      <c r="M45" s="10">
        <f t="shared" si="101"/>
        <v>-0.53474855543102162</v>
      </c>
      <c r="N45" s="10">
        <f t="shared" si="101"/>
        <v>-0.47714324148725673</v>
      </c>
      <c r="O45" s="10">
        <f t="shared" si="101"/>
        <v>-0.4105967183315018</v>
      </c>
      <c r="P45" s="10">
        <f t="shared" si="101"/>
        <v>-0.34775529158746821</v>
      </c>
      <c r="Q45" s="10">
        <f t="shared" si="101"/>
        <v>-0.29543744076836909</v>
      </c>
      <c r="R45" s="10">
        <f t="shared" si="101"/>
        <v>-0.2569008051855759</v>
      </c>
      <c r="S45" s="10">
        <f t="shared" si="101"/>
        <v>-0.23349060949859002</v>
      </c>
      <c r="T45" s="15">
        <f t="shared" si="99"/>
        <v>-0.22565606858716336</v>
      </c>
    </row>
    <row r="46" spans="4:20" x14ac:dyDescent="0.25">
      <c r="E46" s="8">
        <f t="shared" si="97"/>
        <v>1.5999999999999999</v>
      </c>
      <c r="F46" s="15">
        <f t="shared" si="100"/>
        <v>-0.24255214484941057</v>
      </c>
      <c r="G46" s="10">
        <f t="shared" si="101"/>
        <v>-0.28263742212329301</v>
      </c>
      <c r="H46" s="10">
        <f t="shared" si="101"/>
        <v>-0.40924062698127095</v>
      </c>
      <c r="I46" s="10">
        <f t="shared" si="101"/>
        <v>-0.63213442328832414</v>
      </c>
      <c r="J46" s="10">
        <f t="shared" si="101"/>
        <v>-0.92458304671970026</v>
      </c>
      <c r="K46" s="10">
        <f t="shared" si="101"/>
        <v>-1.1405449525173683</v>
      </c>
      <c r="L46" s="10">
        <f t="shared" si="101"/>
        <v>-1.1801889125885645</v>
      </c>
      <c r="M46" s="10">
        <f t="shared" si="101"/>
        <v>-1.0986956917989343</v>
      </c>
      <c r="N46" s="10">
        <f t="shared" si="101"/>
        <v>-0.96322770064447782</v>
      </c>
      <c r="O46" s="10">
        <f t="shared" si="101"/>
        <v>-0.81748833888848793</v>
      </c>
      <c r="P46" s="10">
        <f t="shared" si="101"/>
        <v>-0.68498699477316904</v>
      </c>
      <c r="Q46" s="10">
        <f t="shared" si="101"/>
        <v>-0.57709364390614581</v>
      </c>
      <c r="R46" s="10">
        <f t="shared" si="101"/>
        <v>-0.49867513828544929</v>
      </c>
      <c r="S46" s="10">
        <f t="shared" si="101"/>
        <v>-0.45140552747744644</v>
      </c>
      <c r="T46" s="15">
        <f t="shared" si="99"/>
        <v>-0.43564301516532566</v>
      </c>
    </row>
    <row r="47" spans="4:20" x14ac:dyDescent="0.25">
      <c r="E47" s="8">
        <f t="shared" si="97"/>
        <v>1.4</v>
      </c>
      <c r="F47" s="15">
        <f t="shared" si="100"/>
        <v>-0.26321052795999833</v>
      </c>
      <c r="G47" s="10">
        <f t="shared" si="101"/>
        <v>-0.31658655548624015</v>
      </c>
      <c r="H47" s="10">
        <f t="shared" si="101"/>
        <v>-0.4978698022858552</v>
      </c>
      <c r="I47" s="10">
        <f t="shared" si="101"/>
        <v>-0.86884151664916587</v>
      </c>
      <c r="J47" s="10">
        <f t="shared" si="101"/>
        <v>-1.478618013041082</v>
      </c>
      <c r="K47" s="10">
        <f t="shared" si="101"/>
        <v>-1.9197241234235962</v>
      </c>
      <c r="L47" s="10">
        <f t="shared" si="101"/>
        <v>-1.9183597399013141</v>
      </c>
      <c r="M47" s="10">
        <f t="shared" si="101"/>
        <v>-1.7166176300466551</v>
      </c>
      <c r="N47" s="10">
        <f t="shared" si="101"/>
        <v>-1.4595835472949514</v>
      </c>
      <c r="O47" s="10">
        <f t="shared" si="101"/>
        <v>-1.2111419404800849</v>
      </c>
      <c r="P47" s="10">
        <f t="shared" si="101"/>
        <v>-0.99761068300189937</v>
      </c>
      <c r="Q47" s="10">
        <f t="shared" si="101"/>
        <v>-0.82927495865456002</v>
      </c>
      <c r="R47" s="10">
        <f t="shared" si="101"/>
        <v>-0.70930051841056718</v>
      </c>
      <c r="S47" s="10">
        <f t="shared" si="101"/>
        <v>-0.63781327525969767</v>
      </c>
      <c r="T47" s="15">
        <f t="shared" si="99"/>
        <v>-0.61410486416866306</v>
      </c>
    </row>
    <row r="48" spans="4:20" x14ac:dyDescent="0.25">
      <c r="E48" s="8">
        <f t="shared" si="97"/>
        <v>1.2</v>
      </c>
      <c r="F48" s="15">
        <f t="shared" si="100"/>
        <v>-0.17711687309761359</v>
      </c>
      <c r="G48" s="10">
        <f>-(H22-F22)/(2*$B$2)</f>
        <v>-0.22262848745701169</v>
      </c>
      <c r="H48" s="10">
        <f t="shared" ref="H48:O49" si="102">-(I22-G22)/(2*$B$2)</f>
        <v>-0.39681053325788973</v>
      </c>
      <c r="I48" s="10">
        <f t="shared" si="102"/>
        <v>-0.86674385870201154</v>
      </c>
      <c r="J48" s="10">
        <f t="shared" si="102"/>
        <v>-2.2013234100929902</v>
      </c>
      <c r="K48" s="10">
        <f t="shared" si="102"/>
        <v>-3.1413738415868195</v>
      </c>
      <c r="L48" s="10">
        <f t="shared" si="102"/>
        <v>-2.8569083498987324</v>
      </c>
      <c r="M48" s="10">
        <f>-(N22-L22)/(2*$B$2)</f>
        <v>-2.3898315862556117</v>
      </c>
      <c r="N48" s="10">
        <f t="shared" si="102"/>
        <v>-1.947346945594095</v>
      </c>
      <c r="O48" s="10">
        <f t="shared" si="102"/>
        <v>-1.569885194087457</v>
      </c>
      <c r="P48" s="10">
        <f t="shared" ref="P48:S48" si="103">-(Q22-O22)/(2*$B$2)</f>
        <v>-1.2650388099229359</v>
      </c>
      <c r="Q48" s="10">
        <f t="shared" si="103"/>
        <v>-1.0330949343507578</v>
      </c>
      <c r="R48" s="10">
        <f t="shared" si="103"/>
        <v>-0.8714386204182456</v>
      </c>
      <c r="S48" s="10">
        <f t="shared" si="103"/>
        <v>-0.77644209756033034</v>
      </c>
      <c r="T48" s="15">
        <f t="shared" si="99"/>
        <v>-0.7451497885326086</v>
      </c>
    </row>
    <row r="49" spans="4:20" x14ac:dyDescent="0.25">
      <c r="E49" s="8">
        <f t="shared" si="97"/>
        <v>1</v>
      </c>
      <c r="F49" s="11">
        <f t="shared" si="100"/>
        <v>0</v>
      </c>
      <c r="G49" s="11">
        <f t="shared" si="100"/>
        <v>0</v>
      </c>
      <c r="H49" s="11">
        <f t="shared" si="100"/>
        <v>0</v>
      </c>
      <c r="I49" s="11">
        <f t="shared" si="100"/>
        <v>0</v>
      </c>
      <c r="J49" s="11">
        <f t="shared" si="100"/>
        <v>-6.6371159454163307</v>
      </c>
      <c r="K49" s="10">
        <f t="shared" si="102"/>
        <v>-5.5875395515061248</v>
      </c>
      <c r="L49" s="10">
        <f t="shared" ref="L49:O49" si="104">-(M23-K23)/(2*$B$2)</f>
        <v>-3.9780683011902198</v>
      </c>
      <c r="M49" s="10">
        <f t="shared" si="104"/>
        <v>-3.0384534807303529</v>
      </c>
      <c r="N49" s="10">
        <f t="shared" si="104"/>
        <v>-2.3700874919520531</v>
      </c>
      <c r="O49" s="10">
        <f t="shared" si="104"/>
        <v>-1.8560130875718261</v>
      </c>
      <c r="P49" s="10">
        <f t="shared" ref="P49:S49" si="105">-(Q23-O23)/(2*$B$2)</f>
        <v>-1.4595644008798314</v>
      </c>
      <c r="Q49" s="10">
        <f t="shared" si="105"/>
        <v>-1.1666272852926673</v>
      </c>
      <c r="R49" s="10">
        <f t="shared" si="105"/>
        <v>-0.96691684263016331</v>
      </c>
      <c r="S49" s="10">
        <f t="shared" si="105"/>
        <v>-0.85136659489902788</v>
      </c>
      <c r="T49" s="15">
        <f t="shared" si="99"/>
        <v>-0.81360998127913309</v>
      </c>
    </row>
    <row r="50" spans="4:20" x14ac:dyDescent="0.25">
      <c r="E50" s="8">
        <f t="shared" si="97"/>
        <v>0.8</v>
      </c>
      <c r="J50" s="17"/>
      <c r="K50" s="11">
        <f t="shared" si="100"/>
        <v>-5.0084557064001372</v>
      </c>
      <c r="L50" s="10">
        <f t="shared" ref="L50:O50" si="106">-(M24-K24)/(2*$B$2)</f>
        <v>-4.429371908335602</v>
      </c>
      <c r="M50" s="10">
        <f t="shared" si="106"/>
        <v>-3.4158266150930618</v>
      </c>
      <c r="N50" s="10">
        <f t="shared" si="106"/>
        <v>-2.6385365037777295</v>
      </c>
      <c r="O50" s="10">
        <f t="shared" si="106"/>
        <v>-2.0245152784801967</v>
      </c>
      <c r="P50" s="10">
        <f t="shared" ref="P50:S50" si="107">-(Q24-O24)/(2*$B$2)</f>
        <v>-1.5505783974773069</v>
      </c>
      <c r="Q50" s="10">
        <f t="shared" si="107"/>
        <v>-1.2069329043610855</v>
      </c>
      <c r="R50" s="10">
        <f t="shared" si="107"/>
        <v>-0.97823477729871433</v>
      </c>
      <c r="S50" s="10">
        <f t="shared" si="107"/>
        <v>-0.8484973488655867</v>
      </c>
      <c r="T50" s="15">
        <f t="shared" si="99"/>
        <v>-0.8065568262212941</v>
      </c>
    </row>
    <row r="51" spans="4:20" x14ac:dyDescent="0.25">
      <c r="E51" s="8">
        <f t="shared" si="97"/>
        <v>0.60000000000000009</v>
      </c>
      <c r="K51" s="17"/>
      <c r="L51" s="11">
        <f t="shared" si="100"/>
        <v>-3.9931582556852718</v>
      </c>
      <c r="M51" s="10">
        <f t="shared" ref="M51:O51" si="108">-(N25-L25)/(2*$B$2)</f>
        <v>-3.5569446513351881</v>
      </c>
      <c r="N51" s="10">
        <f t="shared" si="108"/>
        <v>-2.7437166874018679</v>
      </c>
      <c r="O51" s="10">
        <f t="shared" si="108"/>
        <v>-2.0529331505198738</v>
      </c>
      <c r="P51" s="10">
        <f t="shared" ref="P51:S51" si="109">-(Q25-O25)/(2*$B$2)</f>
        <v>-1.5113009926563969</v>
      </c>
      <c r="Q51" s="10">
        <f t="shared" si="109"/>
        <v>-1.1322911052138662</v>
      </c>
      <c r="R51" s="10">
        <f t="shared" si="109"/>
        <v>-0.8905919327893741</v>
      </c>
      <c r="S51" s="10">
        <f t="shared" si="109"/>
        <v>-0.75783109293107165</v>
      </c>
      <c r="T51" s="15">
        <f t="shared" si="99"/>
        <v>-0.71562251861944981</v>
      </c>
    </row>
    <row r="52" spans="4:20" x14ac:dyDescent="0.25">
      <c r="E52" s="8">
        <f t="shared" si="97"/>
        <v>0.4</v>
      </c>
      <c r="L52" s="17"/>
      <c r="M52" s="11">
        <f t="shared" si="100"/>
        <v>-3.1416985601510459</v>
      </c>
      <c r="N52" s="10">
        <f t="shared" ref="N52:O52" si="110">-(O26-M26)/(2*$B$2)</f>
        <v>-2.7264525115784246</v>
      </c>
      <c r="O52" s="10">
        <f t="shared" si="110"/>
        <v>-1.9321996767968119</v>
      </c>
      <c r="P52" s="10">
        <f t="shared" ref="P52:S52" si="111">-(Q26-O26)/(2*$B$2)</f>
        <v>-1.3094013143460375</v>
      </c>
      <c r="Q52" s="10">
        <f t="shared" si="111"/>
        <v>-0.92033855399943409</v>
      </c>
      <c r="R52" s="10">
        <f t="shared" si="111"/>
        <v>-0.69401068876231042</v>
      </c>
      <c r="S52" s="10">
        <f t="shared" si="111"/>
        <v>-0.57661248912823093</v>
      </c>
      <c r="T52" s="15">
        <f t="shared" si="99"/>
        <v>-0.54027097062645413</v>
      </c>
    </row>
    <row r="53" spans="4:20" x14ac:dyDescent="0.25">
      <c r="E53" s="8">
        <f>E54+$B$2</f>
        <v>0.2</v>
      </c>
      <c r="L53" s="17"/>
      <c r="M53" s="17"/>
      <c r="N53" s="11">
        <f>-(O27-N27)/$B$2</f>
        <v>-2.1832321265666876</v>
      </c>
      <c r="O53" s="10">
        <f t="shared" ref="O53:S53" si="112">-(P27-N27)/(2*$B$2)</f>
        <v>-1.6400117711802422</v>
      </c>
      <c r="P53" s="10">
        <f t="shared" si="112"/>
        <v>-0.87376604007496605</v>
      </c>
      <c r="Q53" s="10">
        <f t="shared" si="112"/>
        <v>-0.54565108458462686</v>
      </c>
      <c r="R53" s="10">
        <f t="shared" si="112"/>
        <v>-0.38849973507921937</v>
      </c>
      <c r="S53" s="10">
        <f t="shared" si="112"/>
        <v>-0.31433714423513087</v>
      </c>
      <c r="T53" s="15">
        <f t="shared" si="99"/>
        <v>-0.29223632312494141</v>
      </c>
    </row>
    <row r="54" spans="4:20" x14ac:dyDescent="0.25">
      <c r="E54" s="8">
        <v>0</v>
      </c>
      <c r="N54" s="17"/>
      <c r="O54" s="11">
        <f t="shared" ref="O54:S54" si="113">-(P28-O28)/$B$2</f>
        <v>0</v>
      </c>
      <c r="P54" s="11">
        <f t="shared" si="113"/>
        <v>0</v>
      </c>
      <c r="Q54" s="11">
        <f t="shared" si="113"/>
        <v>0</v>
      </c>
      <c r="R54" s="11">
        <f t="shared" si="113"/>
        <v>0</v>
      </c>
      <c r="S54" s="11">
        <f t="shared" si="113"/>
        <v>0</v>
      </c>
      <c r="T54" s="11">
        <f t="shared" ref="T54" si="114">-(T28-S28)/$B$2</f>
        <v>0</v>
      </c>
    </row>
    <row r="55" spans="4:20" x14ac:dyDescent="0.25">
      <c r="F55" s="9">
        <v>0</v>
      </c>
      <c r="G55" s="9">
        <f>F55+$B$2</f>
        <v>0.2</v>
      </c>
      <c r="H55" s="9">
        <f t="shared" ref="H55:T55" si="115">G55+$B$2</f>
        <v>0.4</v>
      </c>
      <c r="I55" s="9">
        <f t="shared" si="115"/>
        <v>0.60000000000000009</v>
      </c>
      <c r="J55" s="9">
        <f t="shared" si="115"/>
        <v>0.8</v>
      </c>
      <c r="K55" s="9">
        <f t="shared" si="115"/>
        <v>1</v>
      </c>
      <c r="L55" s="9">
        <f t="shared" si="115"/>
        <v>1.2</v>
      </c>
      <c r="M55" s="9">
        <f t="shared" si="115"/>
        <v>1.4</v>
      </c>
      <c r="N55" s="9">
        <f t="shared" si="115"/>
        <v>1.5999999999999999</v>
      </c>
      <c r="O55" s="9">
        <f t="shared" si="115"/>
        <v>1.7999999999999998</v>
      </c>
      <c r="P55" s="9">
        <f t="shared" si="115"/>
        <v>1.9999999999999998</v>
      </c>
      <c r="Q55" s="9">
        <f t="shared" si="115"/>
        <v>2.1999999999999997</v>
      </c>
      <c r="R55" s="9">
        <f t="shared" si="115"/>
        <v>2.4</v>
      </c>
      <c r="S55" s="9">
        <f t="shared" si="115"/>
        <v>2.6</v>
      </c>
      <c r="T55" s="9">
        <f t="shared" si="115"/>
        <v>2.8000000000000003</v>
      </c>
    </row>
    <row r="57" spans="4:20" x14ac:dyDescent="0.25">
      <c r="D57" s="16" t="s">
        <v>12</v>
      </c>
      <c r="E57" s="8">
        <f t="shared" ref="E57:E65" si="116">E58+$B$2</f>
        <v>1.9999999999999998</v>
      </c>
      <c r="F57" s="11">
        <f>(F31^2+F44^2)^0.5</f>
        <v>10</v>
      </c>
      <c r="G57" s="11">
        <f t="shared" ref="G57:T57" si="117">(G31^2+G44^2)^0.5</f>
        <v>9.8582767743048993</v>
      </c>
      <c r="H57" s="11">
        <f t="shared" si="117"/>
        <v>9.6756592369132477</v>
      </c>
      <c r="I57" s="11">
        <f t="shared" si="117"/>
        <v>9.4096350062731116</v>
      </c>
      <c r="J57" s="11">
        <f t="shared" si="117"/>
        <v>9.0239141692067548</v>
      </c>
      <c r="K57" s="11">
        <f t="shared" si="117"/>
        <v>8.5155653344107485</v>
      </c>
      <c r="L57" s="11">
        <f t="shared" si="117"/>
        <v>7.9485466254543446</v>
      </c>
      <c r="M57" s="11">
        <f t="shared" si="117"/>
        <v>7.3892547169568523</v>
      </c>
      <c r="N57" s="11">
        <f t="shared" si="117"/>
        <v>6.8790495069462931</v>
      </c>
      <c r="O57" s="11">
        <f t="shared" si="117"/>
        <v>6.4349682297533484</v>
      </c>
      <c r="P57" s="11">
        <f t="shared" si="117"/>
        <v>6.0578560709646911</v>
      </c>
      <c r="Q57" s="11">
        <f t="shared" si="117"/>
        <v>5.7394576528168351</v>
      </c>
      <c r="R57" s="11">
        <f t="shared" si="117"/>
        <v>5.466981200625094</v>
      </c>
      <c r="S57" s="11">
        <f t="shared" si="117"/>
        <v>5.225656058540622</v>
      </c>
      <c r="T57" s="11">
        <f t="shared" si="117"/>
        <v>5</v>
      </c>
    </row>
    <row r="58" spans="4:20" x14ac:dyDescent="0.25">
      <c r="E58" s="8">
        <f t="shared" si="116"/>
        <v>1.7999999999999998</v>
      </c>
      <c r="F58" s="15">
        <f t="shared" ref="F58:T62" si="118">(F32^2+F45^2)^0.5</f>
        <v>10.001004223176261</v>
      </c>
      <c r="G58" s="15">
        <f t="shared" si="118"/>
        <v>9.8800549406148139</v>
      </c>
      <c r="H58" s="15">
        <f t="shared" si="118"/>
        <v>9.7199514011685988</v>
      </c>
      <c r="I58" s="15">
        <f t="shared" si="118"/>
        <v>9.4750887463143059</v>
      </c>
      <c r="J58" s="15">
        <f t="shared" si="118"/>
        <v>9.0962195749881598</v>
      </c>
      <c r="K58" s="15">
        <f t="shared" si="118"/>
        <v>8.5618002731632536</v>
      </c>
      <c r="L58" s="15">
        <f t="shared" si="118"/>
        <v>7.9646176770210309</v>
      </c>
      <c r="M58" s="15">
        <f t="shared" si="118"/>
        <v>7.3840997279135179</v>
      </c>
      <c r="N58" s="15">
        <f t="shared" si="118"/>
        <v>6.8625950096194908</v>
      </c>
      <c r="O58" s="15">
        <f t="shared" si="118"/>
        <v>6.4146381109232466</v>
      </c>
      <c r="P58" s="15">
        <f t="shared" si="118"/>
        <v>6.0385209824949664</v>
      </c>
      <c r="Q58" s="15">
        <f t="shared" si="118"/>
        <v>5.7241258645431676</v>
      </c>
      <c r="R58" s="15">
        <f t="shared" si="118"/>
        <v>5.457455455913661</v>
      </c>
      <c r="S58" s="15">
        <f t="shared" si="118"/>
        <v>5.2230430837353277</v>
      </c>
      <c r="T58" s="15">
        <f t="shared" si="118"/>
        <v>5.0050894758525759</v>
      </c>
    </row>
    <row r="59" spans="4:20" x14ac:dyDescent="0.25">
      <c r="E59" s="8">
        <f t="shared" si="116"/>
        <v>1.5999999999999999</v>
      </c>
      <c r="F59" s="15">
        <f t="shared" ref="F59:T59" si="119">(F33^2+F46^2)^0.5</f>
        <v>10.002941144631965</v>
      </c>
      <c r="G59" s="15">
        <f t="shared" si="119"/>
        <v>9.9432741407671639</v>
      </c>
      <c r="H59" s="15">
        <f t="shared" si="119"/>
        <v>9.8540853801184642</v>
      </c>
      <c r="I59" s="15">
        <f t="shared" si="119"/>
        <v>9.6863560697236082</v>
      </c>
      <c r="J59" s="15">
        <f t="shared" si="119"/>
        <v>9.3484488823699223</v>
      </c>
      <c r="K59" s="15">
        <f t="shared" si="119"/>
        <v>8.709129926873084</v>
      </c>
      <c r="L59" s="15">
        <f t="shared" si="119"/>
        <v>8.0080175914153386</v>
      </c>
      <c r="M59" s="15">
        <f t="shared" si="119"/>
        <v>7.3613725295872516</v>
      </c>
      <c r="N59" s="15">
        <f t="shared" si="119"/>
        <v>6.8071989729906814</v>
      </c>
      <c r="O59" s="15">
        <f t="shared" si="119"/>
        <v>6.3493260278197896</v>
      </c>
      <c r="P59" s="15">
        <f t="shared" si="119"/>
        <v>5.9775373930009792</v>
      </c>
      <c r="Q59" s="15">
        <f t="shared" si="119"/>
        <v>5.6760374117125805</v>
      </c>
      <c r="R59" s="15">
        <f t="shared" si="119"/>
        <v>5.4272811071521989</v>
      </c>
      <c r="S59" s="15">
        <f t="shared" si="119"/>
        <v>5.2138022559336932</v>
      </c>
      <c r="T59" s="15">
        <f t="shared" si="119"/>
        <v>5.0189426014512595</v>
      </c>
    </row>
    <row r="60" spans="4:20" x14ac:dyDescent="0.25">
      <c r="E60" s="8">
        <f t="shared" si="116"/>
        <v>1.4</v>
      </c>
      <c r="F60" s="15">
        <f t="shared" ref="F60:T60" si="120">(F34^2+F47^2)^0.5</f>
        <v>10.003463389348161</v>
      </c>
      <c r="G60" s="15">
        <f t="shared" si="120"/>
        <v>10.037711403609199</v>
      </c>
      <c r="H60" s="15">
        <f t="shared" si="120"/>
        <v>10.072321189013213</v>
      </c>
      <c r="I60" s="15">
        <f t="shared" si="120"/>
        <v>10.082652355933385</v>
      </c>
      <c r="J60" s="15">
        <f t="shared" si="120"/>
        <v>9.9360347517105279</v>
      </c>
      <c r="K60" s="15">
        <f t="shared" si="120"/>
        <v>8.9760965029675539</v>
      </c>
      <c r="L60" s="15">
        <f t="shared" si="120"/>
        <v>8.0563024547718918</v>
      </c>
      <c r="M60" s="15">
        <f t="shared" si="120"/>
        <v>7.296493242684237</v>
      </c>
      <c r="N60" s="15">
        <f t="shared" si="120"/>
        <v>6.6944867727147406</v>
      </c>
      <c r="O60" s="15">
        <f t="shared" si="120"/>
        <v>6.2264965957374807</v>
      </c>
      <c r="P60" s="15">
        <f t="shared" si="120"/>
        <v>5.866483243646698</v>
      </c>
      <c r="Q60" s="15">
        <f t="shared" si="120"/>
        <v>5.5893773849619226</v>
      </c>
      <c r="R60" s="15">
        <f t="shared" si="120"/>
        <v>5.3720686511949731</v>
      </c>
      <c r="S60" s="15">
        <f t="shared" si="120"/>
        <v>5.1940627835335746</v>
      </c>
      <c r="T60" s="15">
        <f t="shared" si="120"/>
        <v>5.0375713180257424</v>
      </c>
    </row>
    <row r="61" spans="4:20" x14ac:dyDescent="0.25">
      <c r="E61" s="8">
        <f t="shared" si="116"/>
        <v>1.2</v>
      </c>
      <c r="F61" s="15">
        <f t="shared" ref="F61:T63" si="121">(F35^2+F48^2)^0.5</f>
        <v>10.001568396343439</v>
      </c>
      <c r="G61" s="15">
        <f t="shared" si="121"/>
        <v>10.13405095269386</v>
      </c>
      <c r="H61" s="15">
        <f t="shared" si="121"/>
        <v>10.324215071780532</v>
      </c>
      <c r="I61" s="15">
        <f t="shared" si="121"/>
        <v>10.6647543464357</v>
      </c>
      <c r="J61" s="15">
        <f t="shared" si="121"/>
        <v>11.39998360457392</v>
      </c>
      <c r="K61" s="15">
        <f t="shared" si="121"/>
        <v>9.3340322026760365</v>
      </c>
      <c r="L61" s="15">
        <f t="shared" si="121"/>
        <v>8.0421654585392819</v>
      </c>
      <c r="M61" s="15">
        <f t="shared" si="121"/>
        <v>7.1415586787969678</v>
      </c>
      <c r="N61" s="15">
        <f t="shared" si="121"/>
        <v>6.4945985388577903</v>
      </c>
      <c r="O61" s="15">
        <f t="shared" si="121"/>
        <v>6.0273588749423173</v>
      </c>
      <c r="P61" s="15">
        <f t="shared" si="121"/>
        <v>5.6932307725423854</v>
      </c>
      <c r="Q61" s="15">
        <f t="shared" si="121"/>
        <v>5.4560687710304485</v>
      </c>
      <c r="R61" s="15">
        <f t="shared" si="121"/>
        <v>5.285881520105205</v>
      </c>
      <c r="S61" s="15">
        <f t="shared" si="121"/>
        <v>5.1585209572385127</v>
      </c>
      <c r="T61" s="15">
        <f t="shared" si="121"/>
        <v>5.0552198970321944</v>
      </c>
    </row>
    <row r="62" spans="4:20" x14ac:dyDescent="0.25">
      <c r="E62" s="8">
        <f t="shared" si="116"/>
        <v>1</v>
      </c>
      <c r="F62" s="11">
        <f t="shared" si="118"/>
        <v>10</v>
      </c>
      <c r="G62" s="11">
        <f t="shared" si="118"/>
        <v>10.177116875718506</v>
      </c>
      <c r="H62" s="11">
        <f t="shared" si="118"/>
        <v>10.44525698092087</v>
      </c>
      <c r="I62" s="11">
        <f t="shared" si="118"/>
        <v>10.970737949940945</v>
      </c>
      <c r="J62" s="11">
        <f t="shared" si="118"/>
        <v>13.86986412358403</v>
      </c>
      <c r="K62" s="15">
        <f t="shared" si="121"/>
        <v>9.502938400186995</v>
      </c>
      <c r="L62" s="15">
        <f t="shared" ref="L62:N62" si="122">(L36^2+L49^2)^0.5</f>
        <v>7.8147985585981292</v>
      </c>
      <c r="M62" s="15">
        <f t="shared" si="122"/>
        <v>6.8275906274240219</v>
      </c>
      <c r="N62" s="15">
        <f t="shared" si="122"/>
        <v>6.1735954501045347</v>
      </c>
      <c r="O62" s="15">
        <f t="shared" ref="O62:T67" si="123">(O36^2+O49^2)^0.5</f>
        <v>5.7318530599225328</v>
      </c>
      <c r="P62" s="15">
        <f t="shared" si="123"/>
        <v>5.4451560103362491</v>
      </c>
      <c r="Q62" s="15">
        <f t="shared" si="123"/>
        <v>5.2682940474080437</v>
      </c>
      <c r="R62" s="15">
        <f t="shared" si="123"/>
        <v>5.1633973961585378</v>
      </c>
      <c r="S62" s="15">
        <f t="shared" si="123"/>
        <v>5.1022350966370045</v>
      </c>
      <c r="T62" s="15">
        <f t="shared" si="123"/>
        <v>5.0657636346001214</v>
      </c>
    </row>
    <row r="63" spans="4:20" x14ac:dyDescent="0.25">
      <c r="E63" s="8">
        <f t="shared" si="116"/>
        <v>0.8</v>
      </c>
      <c r="J63" s="17"/>
      <c r="K63" s="11">
        <f t="shared" si="121"/>
        <v>8.3148022769733085</v>
      </c>
      <c r="L63" s="15">
        <f t="shared" ref="L63:N64" si="124">(L37^2+L50^2)^0.5</f>
        <v>7.1302127576789882</v>
      </c>
      <c r="M63" s="15">
        <f t="shared" si="124"/>
        <v>6.3054239684138738</v>
      </c>
      <c r="N63" s="15">
        <f t="shared" si="124"/>
        <v>5.7146414182741374</v>
      </c>
      <c r="O63" s="15">
        <f t="shared" si="123"/>
        <v>5.3261858853449588</v>
      </c>
      <c r="P63" s="15">
        <f t="shared" si="123"/>
        <v>5.1129177415933365</v>
      </c>
      <c r="Q63" s="15">
        <f t="shared" si="123"/>
        <v>5.0218727068081845</v>
      </c>
      <c r="R63" s="15">
        <f t="shared" si="123"/>
        <v>5.0030328018166879</v>
      </c>
      <c r="S63" s="15">
        <f t="shared" si="123"/>
        <v>5.0231873207243867</v>
      </c>
      <c r="T63" s="15">
        <f t="shared" si="123"/>
        <v>5.0646356151182452</v>
      </c>
    </row>
    <row r="64" spans="4:20" x14ac:dyDescent="0.25">
      <c r="E64" s="8">
        <f t="shared" si="116"/>
        <v>0.60000000000000009</v>
      </c>
      <c r="K64" s="17"/>
      <c r="L64" s="11">
        <f t="shared" si="124"/>
        <v>6.4054618610623679</v>
      </c>
      <c r="M64" s="15">
        <f>(M38^2+M51^2)^0.5</f>
        <v>5.680773798884859</v>
      </c>
      <c r="N64" s="15">
        <f t="shared" ref="N64" si="125">(N38^2+N51^2)^0.5</f>
        <v>5.1423309132946597</v>
      </c>
      <c r="O64" s="15">
        <f t="shared" si="123"/>
        <v>4.8023717085722293</v>
      </c>
      <c r="P64" s="15">
        <f t="shared" si="123"/>
        <v>4.6916029009436127</v>
      </c>
      <c r="Q64" s="15">
        <f t="shared" si="123"/>
        <v>4.7204457781891138</v>
      </c>
      <c r="R64" s="15">
        <f t="shared" si="123"/>
        <v>4.8112604247446038</v>
      </c>
      <c r="S64" s="15">
        <f t="shared" si="123"/>
        <v>4.9255056371006098</v>
      </c>
      <c r="T64" s="15">
        <f t="shared" si="123"/>
        <v>5.0509519488068033</v>
      </c>
    </row>
    <row r="65" spans="5:20" x14ac:dyDescent="0.25">
      <c r="E65" s="8">
        <f t="shared" si="116"/>
        <v>0.4</v>
      </c>
      <c r="L65" s="17"/>
      <c r="M65" s="11">
        <f>(M39^2+M52^2)^0.5</f>
        <v>5.0809037474324503</v>
      </c>
      <c r="N65" s="15">
        <f t="shared" ref="N65:N66" si="126">(N39^2+N52^2)^0.5</f>
        <v>4.4816736498441649</v>
      </c>
      <c r="O65" s="15">
        <f t="shared" si="123"/>
        <v>4.1287116248034001</v>
      </c>
      <c r="P65" s="15">
        <f t="shared" si="123"/>
        <v>4.1802354315825934</v>
      </c>
      <c r="Q65" s="15">
        <f t="shared" si="123"/>
        <v>4.3839091807104262</v>
      </c>
      <c r="R65" s="15">
        <f t="shared" si="123"/>
        <v>4.6090561237396059</v>
      </c>
      <c r="S65" s="15">
        <f t="shared" si="123"/>
        <v>4.8229000635143944</v>
      </c>
      <c r="T65" s="15">
        <f t="shared" si="123"/>
        <v>5.0291045646020969</v>
      </c>
    </row>
    <row r="66" spans="5:20" x14ac:dyDescent="0.25">
      <c r="E66" s="8">
        <f>E67+$B$2</f>
        <v>0.2</v>
      </c>
      <c r="L66" s="17"/>
      <c r="M66" s="17"/>
      <c r="N66" s="11">
        <f t="shared" si="126"/>
        <v>3.8258035097480647</v>
      </c>
      <c r="O66" s="15">
        <f t="shared" si="123"/>
        <v>3.1816948316558453</v>
      </c>
      <c r="P66" s="15">
        <f t="shared" si="123"/>
        <v>3.6103766053550062</v>
      </c>
      <c r="Q66" s="15">
        <f t="shared" si="123"/>
        <v>4.0725730640834952</v>
      </c>
      <c r="R66" s="15">
        <f t="shared" si="123"/>
        <v>4.4404154364317758</v>
      </c>
      <c r="S66" s="15">
        <f t="shared" si="123"/>
        <v>4.7402981173602408</v>
      </c>
      <c r="T66" s="15">
        <f t="shared" si="123"/>
        <v>5.0085329257731335</v>
      </c>
    </row>
    <row r="67" spans="5:20" x14ac:dyDescent="0.25">
      <c r="E67" s="8">
        <v>0</v>
      </c>
      <c r="N67" s="17"/>
      <c r="O67" s="11">
        <f t="shared" si="123"/>
        <v>2.1832321413793334</v>
      </c>
      <c r="P67" s="11">
        <f t="shared" si="123"/>
        <v>3.2800235617569942</v>
      </c>
      <c r="Q67" s="11">
        <f t="shared" si="123"/>
        <v>3.9307642264347868</v>
      </c>
      <c r="R67" s="11">
        <f t="shared" si="123"/>
        <v>4.3713257263338035</v>
      </c>
      <c r="S67" s="11">
        <f t="shared" si="123"/>
        <v>4.7077636852258209</v>
      </c>
      <c r="T67" s="11">
        <f t="shared" si="123"/>
        <v>5</v>
      </c>
    </row>
    <row r="68" spans="5:20" x14ac:dyDescent="0.25">
      <c r="F68" s="9">
        <v>0</v>
      </c>
      <c r="G68" s="9">
        <f>F68+$B$2</f>
        <v>0.2</v>
      </c>
      <c r="H68" s="9">
        <f t="shared" ref="H68:T68" si="127">G68+$B$2</f>
        <v>0.4</v>
      </c>
      <c r="I68" s="9">
        <f t="shared" si="127"/>
        <v>0.60000000000000009</v>
      </c>
      <c r="J68" s="9">
        <f t="shared" si="127"/>
        <v>0.8</v>
      </c>
      <c r="K68" s="9">
        <f t="shared" si="127"/>
        <v>1</v>
      </c>
      <c r="L68" s="9">
        <f t="shared" si="127"/>
        <v>1.2</v>
      </c>
      <c r="M68" s="9">
        <f t="shared" si="127"/>
        <v>1.4</v>
      </c>
      <c r="N68" s="9">
        <f t="shared" si="127"/>
        <v>1.5999999999999999</v>
      </c>
      <c r="O68" s="9">
        <f t="shared" si="127"/>
        <v>1.7999999999999998</v>
      </c>
      <c r="P68" s="9">
        <f t="shared" si="127"/>
        <v>1.9999999999999998</v>
      </c>
      <c r="Q68" s="9">
        <f t="shared" si="127"/>
        <v>2.1999999999999997</v>
      </c>
      <c r="R68" s="9">
        <f t="shared" si="127"/>
        <v>2.4</v>
      </c>
      <c r="S68" s="9">
        <f t="shared" si="127"/>
        <v>2.6</v>
      </c>
      <c r="T68" s="9">
        <f t="shared" si="127"/>
        <v>2.8000000000000003</v>
      </c>
    </row>
  </sheetData>
  <mergeCells count="2">
    <mergeCell ref="W4:Y4"/>
    <mergeCell ref="W15:Y15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Данила Дедушев</dc:creator>
  <cp:lastModifiedBy>Данила Дедушев</cp:lastModifiedBy>
  <dcterms:created xsi:type="dcterms:W3CDTF">2021-11-15T08:49:21Z</dcterms:created>
  <dcterms:modified xsi:type="dcterms:W3CDTF">2021-11-15T12:03:08Z</dcterms:modified>
</cp:coreProperties>
</file>