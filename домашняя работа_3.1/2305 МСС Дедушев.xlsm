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edus\OneDrive\Рабочий стол\"/>
    </mc:Choice>
  </mc:AlternateContent>
  <bookViews>
    <workbookView xWindow="0" yWindow="0" windowWidth="28800" windowHeight="12480"/>
  </bookViews>
  <sheets>
    <sheet name="Явный вид" sheetId="1" r:id="rId1"/>
    <sheet name="Неявный вид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1" l="1"/>
  <c r="J22" i="1"/>
  <c r="AM20" i="3" l="1"/>
  <c r="I20" i="3"/>
  <c r="AM22" i="3"/>
  <c r="I26" i="3"/>
  <c r="C4" i="3"/>
  <c r="M23" i="3" l="1"/>
  <c r="Q23" i="3"/>
  <c r="U23" i="3"/>
  <c r="Y23" i="3"/>
  <c r="AC23" i="3"/>
  <c r="AG23" i="3"/>
  <c r="AK23" i="3"/>
  <c r="L23" i="3"/>
  <c r="N23" i="3"/>
  <c r="R23" i="3"/>
  <c r="V23" i="3"/>
  <c r="Z23" i="3"/>
  <c r="AD23" i="3"/>
  <c r="AH23" i="3"/>
  <c r="AE23" i="3"/>
  <c r="T23" i="3"/>
  <c r="AB23" i="3"/>
  <c r="AJ23" i="3"/>
  <c r="AL23" i="3"/>
  <c r="AI23" i="3"/>
  <c r="P23" i="3"/>
  <c r="X23" i="3"/>
  <c r="AF23" i="3"/>
  <c r="O23" i="3"/>
  <c r="S23" i="3"/>
  <c r="W23" i="3"/>
  <c r="AA23" i="3"/>
  <c r="K23" i="3"/>
  <c r="J23" i="3"/>
  <c r="C23" i="3"/>
  <c r="AM23" i="3"/>
  <c r="C24" i="3"/>
  <c r="J19" i="3"/>
  <c r="K19" i="3" s="1"/>
  <c r="L19" i="3" s="1"/>
  <c r="M19" i="3" s="1"/>
  <c r="N19" i="3" s="1"/>
  <c r="O19" i="3" s="1"/>
  <c r="P19" i="3" s="1"/>
  <c r="Q19" i="3" s="1"/>
  <c r="R19" i="3" s="1"/>
  <c r="S19" i="3" s="1"/>
  <c r="T19" i="3" s="1"/>
  <c r="U19" i="3" s="1"/>
  <c r="V19" i="3" s="1"/>
  <c r="W19" i="3" s="1"/>
  <c r="X19" i="3" s="1"/>
  <c r="Y19" i="3" s="1"/>
  <c r="Z19" i="3" s="1"/>
  <c r="AA19" i="3" s="1"/>
  <c r="AB19" i="3" s="1"/>
  <c r="AC19" i="3" s="1"/>
  <c r="AD19" i="3" s="1"/>
  <c r="AE19" i="3" s="1"/>
  <c r="AF19" i="3" s="1"/>
  <c r="AG19" i="3" s="1"/>
  <c r="AH19" i="3" s="1"/>
  <c r="AI19" i="3" s="1"/>
  <c r="AJ19" i="3" s="1"/>
  <c r="AK19" i="3" s="1"/>
  <c r="AL19" i="3" s="1"/>
  <c r="AM19" i="3" s="1"/>
  <c r="C25" i="3" l="1"/>
  <c r="L27" i="3"/>
  <c r="P27" i="3"/>
  <c r="T27" i="3"/>
  <c r="X27" i="3"/>
  <c r="AB27" i="3"/>
  <c r="AF27" i="3"/>
  <c r="AJ27" i="3"/>
  <c r="M27" i="3"/>
  <c r="Q27" i="3"/>
  <c r="U27" i="3"/>
  <c r="Y27" i="3"/>
  <c r="AC27" i="3"/>
  <c r="AG27" i="3"/>
  <c r="AK27" i="3"/>
  <c r="J27" i="3"/>
  <c r="J26" i="3" s="1"/>
  <c r="N27" i="3"/>
  <c r="R27" i="3"/>
  <c r="V27" i="3"/>
  <c r="Z27" i="3"/>
  <c r="AD27" i="3"/>
  <c r="AH27" i="3"/>
  <c r="AL27" i="3"/>
  <c r="K27" i="3"/>
  <c r="O27" i="3"/>
  <c r="S27" i="3"/>
  <c r="W27" i="3"/>
  <c r="AA27" i="3"/>
  <c r="AE27" i="3"/>
  <c r="AI27" i="3"/>
  <c r="I27" i="3"/>
  <c r="J25" i="3" l="1"/>
  <c r="K25" i="3" s="1"/>
  <c r="L25" i="3" s="1"/>
  <c r="M25" i="3" s="1"/>
  <c r="N25" i="3" s="1"/>
  <c r="O25" i="3" s="1"/>
  <c r="P25" i="3" s="1"/>
  <c r="Q25" i="3" s="1"/>
  <c r="R25" i="3" s="1"/>
  <c r="S25" i="3" s="1"/>
  <c r="T25" i="3" s="1"/>
  <c r="U25" i="3" s="1"/>
  <c r="V25" i="3" s="1"/>
  <c r="W25" i="3" s="1"/>
  <c r="X25" i="3" s="1"/>
  <c r="Y25" i="3" s="1"/>
  <c r="Z25" i="3" s="1"/>
  <c r="AA25" i="3" s="1"/>
  <c r="AB25" i="3" s="1"/>
  <c r="AC25" i="3" s="1"/>
  <c r="AD25" i="3" s="1"/>
  <c r="AE25" i="3" s="1"/>
  <c r="AF25" i="3" s="1"/>
  <c r="AG25" i="3" s="1"/>
  <c r="AH25" i="3" s="1"/>
  <c r="AI25" i="3" s="1"/>
  <c r="AJ25" i="3" s="1"/>
  <c r="AK25" i="3" s="1"/>
  <c r="AL25" i="3" s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J23" i="1"/>
  <c r="K26" i="3" l="1"/>
  <c r="L26" i="3" s="1"/>
  <c r="M26" i="3" s="1"/>
  <c r="N26" i="3" s="1"/>
  <c r="O26" i="3" s="1"/>
  <c r="P26" i="3" s="1"/>
  <c r="Q26" i="3" s="1"/>
  <c r="R26" i="3" s="1"/>
  <c r="S26" i="3" s="1"/>
  <c r="T26" i="3" s="1"/>
  <c r="U26" i="3" s="1"/>
  <c r="V26" i="3" s="1"/>
  <c r="W26" i="3" s="1"/>
  <c r="X26" i="3" s="1"/>
  <c r="Y26" i="3" s="1"/>
  <c r="Z26" i="3" s="1"/>
  <c r="AA26" i="3" s="1"/>
  <c r="AB26" i="3" s="1"/>
  <c r="AC26" i="3" s="1"/>
  <c r="AD26" i="3" s="1"/>
  <c r="AE26" i="3" s="1"/>
  <c r="AF26" i="3" s="1"/>
  <c r="AG26" i="3" s="1"/>
  <c r="AH26" i="3" s="1"/>
  <c r="AI26" i="3" s="1"/>
  <c r="AJ26" i="3" s="1"/>
  <c r="AK26" i="3" s="1"/>
  <c r="AL26" i="3" s="1"/>
  <c r="AL22" i="3" s="1"/>
  <c r="AK22" i="3" s="1"/>
  <c r="AJ22" i="3" s="1"/>
  <c r="AI22" i="3" s="1"/>
  <c r="AH22" i="3" s="1"/>
  <c r="AG22" i="3" s="1"/>
  <c r="AF22" i="3" s="1"/>
  <c r="AE22" i="3" s="1"/>
  <c r="AD22" i="3" s="1"/>
  <c r="AC22" i="3" s="1"/>
  <c r="AB22" i="3" s="1"/>
  <c r="AA22" i="3" s="1"/>
  <c r="Z22" i="3" s="1"/>
  <c r="Y22" i="3" s="1"/>
  <c r="X22" i="3" s="1"/>
  <c r="W22" i="3" s="1"/>
  <c r="V22" i="3" s="1"/>
  <c r="U22" i="3" s="1"/>
  <c r="T22" i="3" s="1"/>
  <c r="S22" i="3" s="1"/>
  <c r="R22" i="3" s="1"/>
  <c r="Q22" i="3" s="1"/>
  <c r="P22" i="3" s="1"/>
  <c r="O22" i="3" s="1"/>
  <c r="N22" i="3" s="1"/>
  <c r="M22" i="3" s="1"/>
  <c r="L22" i="3" s="1"/>
  <c r="K22" i="3" s="1"/>
  <c r="AM20" i="1"/>
  <c r="K22" i="1" l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J19" i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C4" i="1"/>
  <c r="J22" i="3" l="1"/>
</calcChain>
</file>

<file path=xl/sharedStrings.xml><?xml version="1.0" encoding="utf-8"?>
<sst xmlns="http://schemas.openxmlformats.org/spreadsheetml/2006/main" count="32" uniqueCount="18">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</sst>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E+00"/>
    <numFmt numFmtId="167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0" xfId="0" applyBorder="1"/>
    <xf numFmtId="166" fontId="0" fillId="0" borderId="0" xfId="0" applyNumberFormat="1"/>
    <xf numFmtId="164" fontId="0" fillId="0" borderId="1" xfId="0" applyNumberFormat="1" applyBorder="1"/>
    <xf numFmtId="165" fontId="0" fillId="0" borderId="0" xfId="0" applyNumberFormat="1"/>
    <xf numFmtId="167" fontId="0" fillId="0" borderId="0" xfId="0" applyNumberFormat="1" applyAlignment="1">
      <alignment horizontal="center"/>
    </xf>
    <xf numFmtId="2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'Явный вид'!$I$19:$AM$19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'Явный вид'!$I$20:$AM$20</c:f>
              <c:numCache>
                <c:formatCode>General</c:formatCode>
                <c:ptCount val="31"/>
                <c:pt idx="0">
                  <c:v>300</c:v>
                </c:pt>
                <c:pt idx="1">
                  <c:v>3.1604098396716096E+53</c:v>
                </c:pt>
                <c:pt idx="2">
                  <c:v>-6.0439376492826585E+53</c:v>
                </c:pt>
                <c:pt idx="3">
                  <c:v>8.4135169500974633E+53</c:v>
                </c:pt>
                <c:pt idx="4">
                  <c:v>-1.0103845789427969E+54</c:v>
                </c:pt>
                <c:pt idx="5">
                  <c:v>1.1039577781043906E+54</c:v>
                </c:pt>
                <c:pt idx="6">
                  <c:v>-1.1237218528756474E+54</c:v>
                </c:pt>
                <c:pt idx="7">
                  <c:v>1.0791942013460305E+54</c:v>
                </c:pt>
                <c:pt idx="8">
                  <c:v>-9.8536535475749295E+53</c:v>
                </c:pt>
                <c:pt idx="9">
                  <c:v>8.5983403120484281E+53</c:v>
                </c:pt>
                <c:pt idx="10">
                  <c:v>-7.200793718795587E+53</c:v>
                </c:pt>
                <c:pt idx="11">
                  <c:v>5.8133940827504451E+53</c:v>
                </c:pt>
                <c:pt idx="12">
                  <c:v>-4.5534134897927982E+53</c:v>
                </c:pt>
                <c:pt idx="13">
                  <c:v>3.4989373558496168E+53</c:v>
                </c:pt>
                <c:pt idx="14">
                  <c:v>-2.6916406086800294E+53</c:v>
                </c:pt>
                <c:pt idx="15">
                  <c:v>2.143634365463308E+53</c:v>
                </c:pt>
                <c:pt idx="16">
                  <c:v>-1.8454826819597373E+53</c:v>
                </c:pt>
                <c:pt idx="17">
                  <c:v>1.7730999146553196E+53</c:v>
                </c:pt>
                <c:pt idx="18">
                  <c:v>-1.8922721191069296E+53</c:v>
                </c:pt>
                <c:pt idx="19">
                  <c:v>2.1606723598484205E+53</c:v>
                </c:pt>
                <c:pt idx="20">
                  <c:v>-2.5281822625718455E+53</c:v>
                </c:pt>
                <c:pt idx="21">
                  <c:v>2.9368995220912131E+53</c:v>
                </c:pt>
                <c:pt idx="22">
                  <c:v>-3.3223085710247018E+53</c:v>
                </c:pt>
                <c:pt idx="23">
                  <c:v>3.6167207403042675E+53</c:v>
                </c:pt>
                <c:pt idx="24">
                  <c:v>-3.7553474028643104E+53</c:v>
                </c:pt>
                <c:pt idx="25">
                  <c:v>3.6844387179166064E+53</c:v>
                </c:pt>
                <c:pt idx="26">
                  <c:v>-3.3700483176295746E+53</c:v>
                </c:pt>
                <c:pt idx="27">
                  <c:v>2.8054294311860078E+53</c:v>
                </c:pt>
                <c:pt idx="28">
                  <c:v>-2.0150303563719368E+53</c:v>
                </c:pt>
                <c:pt idx="29">
                  <c:v>1.0536064998335137E+53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5-4C41-B771-600881FF3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19888"/>
        <c:axId val="460817920"/>
      </c:scatterChart>
      <c:valAx>
        <c:axId val="4608198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817920"/>
        <c:crosses val="autoZero"/>
        <c:crossBetween val="midCat"/>
      </c:valAx>
      <c:valAx>
        <c:axId val="460817920"/>
        <c:scaling>
          <c:orientation val="minMax"/>
          <c:min val="-1.2E+5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81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L(m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91388888888888886"/>
          <c:y val="0.9027777777777777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'Неявный вид'!$J$20:$AL$20</c:f>
              <c:numCache>
                <c:formatCode>General</c:formatCode>
                <c:ptCount val="29"/>
                <c:pt idx="0">
                  <c:v>287.1925580024872</c:v>
                </c:pt>
                <c:pt idx="1">
                  <c:v>274.45389945090841</c:v>
                </c:pt>
                <c:pt idx="2">
                  <c:v>261.85198771975558</c:v>
                </c:pt>
                <c:pt idx="3">
                  <c:v>249.45315800297954</c:v>
                </c:pt>
                <c:pt idx="4">
                  <c:v>237.32133286127006</c:v>
                </c:pt>
                <c:pt idx="5">
                  <c:v>225.51727259277288</c:v>
                </c:pt>
                <c:pt idx="6">
                  <c:v>214.09787082745635</c:v>
                </c:pt>
                <c:pt idx="7">
                  <c:v>203.11550476569897</c:v>
                </c:pt>
                <c:pt idx="8">
                  <c:v>192.61744832326787</c:v>
                </c:pt>
                <c:pt idx="9">
                  <c:v>182.64535514710548</c:v>
                </c:pt>
                <c:pt idx="10">
                  <c:v>173.23481707220088</c:v>
                </c:pt>
                <c:pt idx="11">
                  <c:v>164.41500214384996</c:v>
                </c:pt>
                <c:pt idx="12">
                  <c:v>156.20837487605183</c:v>
                </c:pt>
                <c:pt idx="13">
                  <c:v>148.63049999768077</c:v>
                </c:pt>
                <c:pt idx="14">
                  <c:v>141.68992959160192</c:v>
                </c:pt>
                <c:pt idx="15">
                  <c:v>135.38817229098748</c:v>
                </c:pt>
                <c:pt idx="16">
                  <c:v>129.7197420882992</c:v>
                </c:pt>
                <c:pt idx="17">
                  <c:v>124.67228335523129</c:v>
                </c:pt>
                <c:pt idx="18">
                  <c:v>120.22676787840741</c:v>
                </c:pt>
                <c:pt idx="19">
                  <c:v>116.35775909043107</c:v>
                </c:pt>
                <c:pt idx="20">
                  <c:v>113.03373821655737</c:v>
                </c:pt>
                <c:pt idx="21">
                  <c:v>110.2174867549019</c:v>
                </c:pt>
                <c:pt idx="22">
                  <c:v>107.86651954830063</c:v>
                </c:pt>
                <c:pt idx="23">
                  <c:v>105.93356266975184</c:v>
                </c:pt>
                <c:pt idx="24">
                  <c:v>104.36707040857154</c:v>
                </c:pt>
                <c:pt idx="25">
                  <c:v>103.11177578665178</c:v>
                </c:pt>
                <c:pt idx="26">
                  <c:v>102.10926922835259</c:v>
                </c:pt>
                <c:pt idx="27">
                  <c:v>101.29860022873005</c:v>
                </c:pt>
                <c:pt idx="28">
                  <c:v>100.61689708957026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1B-4FAC-BAD1-4871C8C70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494432"/>
        <c:axId val="391494760"/>
      </c:scatterChart>
      <c:valAx>
        <c:axId val="39149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494760"/>
        <c:crosses val="autoZero"/>
        <c:crossBetween val="midCat"/>
      </c:valAx>
      <c:valAx>
        <c:axId val="39149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49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519545</xdr:colOff>
      <xdr:row>23</xdr:row>
      <xdr:rowOff>57151</xdr:rowOff>
    </xdr:from>
    <xdr:to>
      <xdr:col>31</xdr:col>
      <xdr:colOff>406976</xdr:colOff>
      <xdr:row>54</xdr:row>
      <xdr:rowOff>81643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590549</xdr:colOff>
      <xdr:row>23</xdr:row>
      <xdr:rowOff>71005</xdr:rowOff>
    </xdr:from>
    <xdr:ext cx="422564" cy="4052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4262004" y="4452505"/>
              <a:ext cx="422564" cy="4052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4262004" y="4452505"/>
              <a:ext cx="422564" cy="4052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𝑡,(𝑐)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346363</xdr:colOff>
      <xdr:row>52</xdr:row>
      <xdr:rowOff>69272</xdr:rowOff>
    </xdr:from>
    <xdr:ext cx="422564" cy="3290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4737772" y="9975272"/>
              <a:ext cx="422564" cy="3290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r>
                <a:rPr lang="en-US" sz="1400" b="0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4737772" y="9975272"/>
              <a:ext cx="422564" cy="3290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r>
                <a:rPr lang="en-US" sz="1400" b="0" i="0">
                  <a:latin typeface="+mn-lt"/>
                </a:rPr>
                <a:t>L</a:t>
              </a:r>
              <a:r>
                <a:rPr lang="en-US" sz="1400" b="0" i="0">
                  <a:latin typeface="Cambria Math" panose="02040503050406030204" pitchFamily="18" charset="0"/>
                </a:rPr>
                <a:t>,(𝑚)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28</xdr:row>
      <xdr:rowOff>95250</xdr:rowOff>
    </xdr:from>
    <xdr:to>
      <xdr:col>13</xdr:col>
      <xdr:colOff>352425</xdr:colOff>
      <xdr:row>42</xdr:row>
      <xdr:rowOff>171450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0.13218</cdr:x>
      <cdr:y>0.13112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603556" cy="359695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M23"/>
  <sheetViews>
    <sheetView tabSelected="1" topLeftCell="A16" zoomScale="80" zoomScaleNormal="80" workbookViewId="0">
      <selection activeCell="J20" sqref="J20:AL20"/>
    </sheetView>
  </sheetViews>
  <sheetFormatPr defaultRowHeight="15" x14ac:dyDescent="0.25"/>
  <cols>
    <col min="3" max="3" width="9.5703125" bestFit="1" customWidth="1"/>
    <col min="7" max="7" width="9" customWidth="1"/>
    <col min="8" max="8" width="6.140625" bestFit="1" customWidth="1"/>
    <col min="9" max="39" width="6.5703125" bestFit="1" customWidth="1"/>
  </cols>
  <sheetData>
    <row r="3" spans="1:4" x14ac:dyDescent="0.25">
      <c r="B3" s="2" t="s">
        <v>0</v>
      </c>
      <c r="C3" s="2">
        <v>0.1</v>
      </c>
    </row>
    <row r="4" spans="1:4" x14ac:dyDescent="0.25">
      <c r="B4" s="2" t="s">
        <v>1</v>
      </c>
      <c r="C4" s="5">
        <f>C3/30</f>
        <v>3.3333333333333335E-3</v>
      </c>
    </row>
    <row r="5" spans="1:4" x14ac:dyDescent="0.25">
      <c r="B5" s="2" t="s">
        <v>2</v>
      </c>
      <c r="C5" s="5">
        <v>2</v>
      </c>
    </row>
    <row r="6" spans="1:4" x14ac:dyDescent="0.25">
      <c r="B6" s="2" t="s">
        <v>3</v>
      </c>
      <c r="C6" s="2">
        <v>60</v>
      </c>
      <c r="D6">
        <v>61</v>
      </c>
    </row>
    <row r="7" spans="1:4" x14ac:dyDescent="0.25">
      <c r="A7" s="6"/>
      <c r="B7" s="6"/>
      <c r="C7" s="6"/>
      <c r="D7" s="6"/>
    </row>
    <row r="8" spans="1:4" x14ac:dyDescent="0.25">
      <c r="B8" s="2" t="s">
        <v>4</v>
      </c>
      <c r="C8" s="2">
        <v>460</v>
      </c>
    </row>
    <row r="9" spans="1:4" x14ac:dyDescent="0.25">
      <c r="B9" s="2" t="s">
        <v>5</v>
      </c>
      <c r="C9" s="2">
        <v>7800</v>
      </c>
    </row>
    <row r="10" spans="1:4" x14ac:dyDescent="0.25">
      <c r="B10" s="2" t="s">
        <v>6</v>
      </c>
      <c r="C10" s="2">
        <v>46</v>
      </c>
    </row>
    <row r="11" spans="1:4" x14ac:dyDescent="0.25">
      <c r="A11" s="6"/>
      <c r="B11" s="6"/>
      <c r="C11" s="6"/>
      <c r="D11" s="6"/>
    </row>
    <row r="12" spans="1:4" x14ac:dyDescent="0.25">
      <c r="A12" s="6"/>
      <c r="B12" s="6"/>
      <c r="C12" s="6"/>
      <c r="D12" s="6"/>
    </row>
    <row r="13" spans="1:4" x14ac:dyDescent="0.25">
      <c r="A13" s="6"/>
      <c r="B13" s="6"/>
      <c r="C13" s="6"/>
      <c r="D13" s="6"/>
    </row>
    <row r="14" spans="1:4" x14ac:dyDescent="0.25">
      <c r="A14" s="6"/>
      <c r="B14" s="6"/>
      <c r="C14" s="6"/>
      <c r="D14" s="6"/>
    </row>
    <row r="15" spans="1:4" x14ac:dyDescent="0.25">
      <c r="A15" s="6"/>
      <c r="B15" s="6"/>
      <c r="C15" s="6"/>
      <c r="D15" s="6"/>
    </row>
    <row r="16" spans="1:4" x14ac:dyDescent="0.25">
      <c r="A16" s="6"/>
      <c r="B16" s="6"/>
      <c r="C16" s="6"/>
      <c r="D16" s="6"/>
    </row>
    <row r="17" spans="1:39" x14ac:dyDescent="0.25">
      <c r="A17" s="6"/>
      <c r="B17" s="6"/>
      <c r="C17" s="6"/>
      <c r="D17" s="6"/>
    </row>
    <row r="18" spans="1:39" x14ac:dyDescent="0.25">
      <c r="A18" s="6"/>
      <c r="B18" s="6"/>
      <c r="C18" s="6"/>
      <c r="D18" s="6"/>
      <c r="H18" s="2"/>
      <c r="I18" s="3">
        <v>1</v>
      </c>
      <c r="J18" s="3">
        <v>2</v>
      </c>
      <c r="K18" s="3">
        <v>3</v>
      </c>
      <c r="L18" s="3">
        <v>4</v>
      </c>
      <c r="M18" s="3">
        <v>5</v>
      </c>
      <c r="N18" s="3">
        <v>6</v>
      </c>
      <c r="O18" s="3">
        <v>7</v>
      </c>
      <c r="P18" s="3">
        <v>8</v>
      </c>
      <c r="Q18" s="3">
        <v>9</v>
      </c>
      <c r="R18" s="3">
        <v>10</v>
      </c>
      <c r="S18" s="3">
        <v>11</v>
      </c>
      <c r="T18" s="3">
        <v>12</v>
      </c>
      <c r="U18" s="3">
        <v>13</v>
      </c>
      <c r="V18" s="3">
        <v>14</v>
      </c>
      <c r="W18" s="3">
        <v>15</v>
      </c>
      <c r="X18" s="3">
        <v>16</v>
      </c>
      <c r="Y18" s="3">
        <v>17</v>
      </c>
      <c r="Z18" s="3">
        <v>18</v>
      </c>
      <c r="AA18" s="3">
        <v>19</v>
      </c>
      <c r="AB18" s="3">
        <v>20</v>
      </c>
      <c r="AC18" s="3">
        <v>21</v>
      </c>
      <c r="AD18" s="3">
        <v>22</v>
      </c>
      <c r="AE18" s="3">
        <v>23</v>
      </c>
      <c r="AF18" s="3">
        <v>24</v>
      </c>
      <c r="AG18" s="3">
        <v>25</v>
      </c>
      <c r="AH18" s="3">
        <v>26</v>
      </c>
      <c r="AI18" s="3">
        <v>27</v>
      </c>
      <c r="AJ18" s="3">
        <v>28</v>
      </c>
      <c r="AK18" s="3">
        <v>29</v>
      </c>
      <c r="AL18" s="3">
        <v>30</v>
      </c>
      <c r="AM18" s="3">
        <v>31</v>
      </c>
    </row>
    <row r="19" spans="1:39" x14ac:dyDescent="0.25">
      <c r="B19" s="2" t="s">
        <v>8</v>
      </c>
      <c r="C19" s="2">
        <v>300</v>
      </c>
      <c r="H19" s="2" t="s">
        <v>0</v>
      </c>
      <c r="I19" s="4">
        <v>0</v>
      </c>
      <c r="J19" s="4">
        <f>I19+$C$4</f>
        <v>3.3333333333333335E-3</v>
      </c>
      <c r="K19" s="4">
        <f t="shared" ref="K19:AM19" si="0">J19+$C$4</f>
        <v>6.6666666666666671E-3</v>
      </c>
      <c r="L19" s="4">
        <f t="shared" si="0"/>
        <v>0.01</v>
      </c>
      <c r="M19" s="4">
        <f t="shared" si="0"/>
        <v>1.3333333333333334E-2</v>
      </c>
      <c r="N19" s="4">
        <f t="shared" si="0"/>
        <v>1.6666666666666666E-2</v>
      </c>
      <c r="O19" s="4">
        <f t="shared" si="0"/>
        <v>0.02</v>
      </c>
      <c r="P19" s="4">
        <f t="shared" si="0"/>
        <v>2.3333333333333334E-2</v>
      </c>
      <c r="Q19" s="4">
        <f t="shared" si="0"/>
        <v>2.6666666666666668E-2</v>
      </c>
      <c r="R19" s="4">
        <f t="shared" si="0"/>
        <v>3.0000000000000002E-2</v>
      </c>
      <c r="S19" s="4">
        <f t="shared" si="0"/>
        <v>3.3333333333333333E-2</v>
      </c>
      <c r="T19" s="4">
        <f t="shared" si="0"/>
        <v>3.6666666666666667E-2</v>
      </c>
      <c r="U19" s="4">
        <f t="shared" si="0"/>
        <v>0.04</v>
      </c>
      <c r="V19" s="4">
        <f t="shared" si="0"/>
        <v>4.3333333333333335E-2</v>
      </c>
      <c r="W19" s="4">
        <f t="shared" si="0"/>
        <v>4.6666666666666669E-2</v>
      </c>
      <c r="X19" s="4">
        <f t="shared" si="0"/>
        <v>0.05</v>
      </c>
      <c r="Y19" s="4">
        <f t="shared" si="0"/>
        <v>5.3333333333333337E-2</v>
      </c>
      <c r="Z19" s="4">
        <f t="shared" si="0"/>
        <v>5.6666666666666671E-2</v>
      </c>
      <c r="AA19" s="4">
        <f t="shared" si="0"/>
        <v>6.0000000000000005E-2</v>
      </c>
      <c r="AB19" s="4">
        <f t="shared" si="0"/>
        <v>6.3333333333333339E-2</v>
      </c>
      <c r="AC19" s="4">
        <f t="shared" si="0"/>
        <v>6.6666666666666666E-2</v>
      </c>
      <c r="AD19" s="4">
        <f t="shared" si="0"/>
        <v>6.9999999999999993E-2</v>
      </c>
      <c r="AE19" s="4">
        <f t="shared" si="0"/>
        <v>7.333333333333332E-2</v>
      </c>
      <c r="AF19" s="4">
        <f t="shared" si="0"/>
        <v>7.6666666666666647E-2</v>
      </c>
      <c r="AG19" s="4">
        <f t="shared" si="0"/>
        <v>7.9999999999999974E-2</v>
      </c>
      <c r="AH19" s="4">
        <f t="shared" si="0"/>
        <v>8.3333333333333301E-2</v>
      </c>
      <c r="AI19" s="4">
        <f t="shared" si="0"/>
        <v>8.6666666666666628E-2</v>
      </c>
      <c r="AJ19" s="4">
        <f t="shared" si="0"/>
        <v>8.9999999999999955E-2</v>
      </c>
      <c r="AK19" s="4">
        <f t="shared" si="0"/>
        <v>9.3333333333333282E-2</v>
      </c>
      <c r="AL19" s="4">
        <f t="shared" si="0"/>
        <v>9.6666666666666609E-2</v>
      </c>
      <c r="AM19" s="4">
        <f t="shared" si="0"/>
        <v>9.9999999999999936E-2</v>
      </c>
    </row>
    <row r="20" spans="1:39" x14ac:dyDescent="0.25">
      <c r="B20" s="2" t="s">
        <v>9</v>
      </c>
      <c r="C20" s="2">
        <v>100</v>
      </c>
      <c r="H20" t="s">
        <v>7</v>
      </c>
      <c r="I20" s="1">
        <f>C19</f>
        <v>300</v>
      </c>
      <c r="J20" s="1">
        <v>3.1604098396716096E+53</v>
      </c>
      <c r="K20" s="1">
        <v>-6.0439376492826585E+53</v>
      </c>
      <c r="L20" s="1">
        <v>8.4135169500974633E+53</v>
      </c>
      <c r="M20" s="1">
        <v>-1.0103845789427969E+54</v>
      </c>
      <c r="N20" s="1">
        <v>1.1039577781043906E+54</v>
      </c>
      <c r="O20" s="1">
        <v>-1.1237218528756474E+54</v>
      </c>
      <c r="P20" s="1">
        <v>1.0791942013460305E+54</v>
      </c>
      <c r="Q20" s="1">
        <v>-9.8536535475749295E+53</v>
      </c>
      <c r="R20" s="1">
        <v>8.5983403120484281E+53</v>
      </c>
      <c r="S20" s="1">
        <v>-7.200793718795587E+53</v>
      </c>
      <c r="T20" s="1">
        <v>5.8133940827504451E+53</v>
      </c>
      <c r="U20" s="1">
        <v>-4.5534134897927982E+53</v>
      </c>
      <c r="V20" s="1">
        <v>3.4989373558496168E+53</v>
      </c>
      <c r="W20" s="1">
        <v>-2.6916406086800294E+53</v>
      </c>
      <c r="X20" s="1">
        <v>2.143634365463308E+53</v>
      </c>
      <c r="Y20" s="1">
        <v>-1.8454826819597373E+53</v>
      </c>
      <c r="Z20" s="1">
        <v>1.7730999146553196E+53</v>
      </c>
      <c r="AA20" s="1">
        <v>-1.8922721191069296E+53</v>
      </c>
      <c r="AB20" s="1">
        <v>2.1606723598484205E+53</v>
      </c>
      <c r="AC20" s="1">
        <v>-2.5281822625718455E+53</v>
      </c>
      <c r="AD20" s="1">
        <v>2.9368995220912131E+53</v>
      </c>
      <c r="AE20" s="1">
        <v>-3.3223085710247018E+53</v>
      </c>
      <c r="AF20" s="1">
        <v>3.6167207403042675E+53</v>
      </c>
      <c r="AG20" s="1">
        <v>-3.7553474028643104E+53</v>
      </c>
      <c r="AH20" s="1">
        <v>3.6844387179166064E+53</v>
      </c>
      <c r="AI20" s="1">
        <v>-3.3700483176295746E+53</v>
      </c>
      <c r="AJ20" s="1">
        <v>2.8054294311860078E+53</v>
      </c>
      <c r="AK20" s="1">
        <v>-2.0150303563719368E+53</v>
      </c>
      <c r="AL20" s="1">
        <v>1.0536064998335137E+53</v>
      </c>
      <c r="AM20" s="1">
        <f>C20</f>
        <v>100</v>
      </c>
    </row>
    <row r="22" spans="1:39" x14ac:dyDescent="0.25">
      <c r="H22" t="s">
        <v>10</v>
      </c>
      <c r="J22" s="1">
        <f>J20+(($C$10*$C$5)/($C$9*$C$8))*((K20-2*J20+I20)/($C$4^2))</f>
        <v>-2.5373645534080408E+54</v>
      </c>
      <c r="K22" s="1">
        <f t="shared" ref="K22:AL22" si="1">K20+(($C$10*$C$5)/($C$9*$C$8))*((L20-2*K20+J20)/($C$4^2))</f>
        <v>4.8560221016104376E+54</v>
      </c>
      <c r="L22" s="1">
        <f t="shared" si="1"/>
        <v>-6.7682215370453787E+54</v>
      </c>
      <c r="M22" s="1">
        <f t="shared" si="1"/>
        <v>8.1421045695181187E+54</v>
      </c>
      <c r="N22" s="1">
        <f t="shared" si="1"/>
        <v>-8.9160929634968983E+54</v>
      </c>
      <c r="O22" s="1">
        <f t="shared" si="1"/>
        <v>9.1007297283590806E+54</v>
      </c>
      <c r="P22" s="1">
        <f t="shared" si="1"/>
        <v>-8.7688264378659708E+54</v>
      </c>
      <c r="Q22" s="1">
        <f t="shared" si="1"/>
        <v>8.0371552807791034E+54</v>
      </c>
      <c r="R22" s="1">
        <f t="shared" si="1"/>
        <v>-7.044272405056857E+54</v>
      </c>
      <c r="S22" s="1">
        <f t="shared" si="1"/>
        <v>5.9291487432873741E+54</v>
      </c>
      <c r="T22" s="1">
        <f t="shared" si="1"/>
        <v>-4.8142749088224789E+54</v>
      </c>
      <c r="U22" s="1">
        <f t="shared" si="1"/>
        <v>3.7952336706020254E+54</v>
      </c>
      <c r="V22" s="1">
        <f t="shared" si="1"/>
        <v>-2.9369359898393596E+54</v>
      </c>
      <c r="W22" s="1">
        <f t="shared" si="1"/>
        <v>2.2752635403642235E+54</v>
      </c>
      <c r="X22" s="1">
        <f t="shared" si="1"/>
        <v>-1.8220347222766803E+54</v>
      </c>
      <c r="Y22" s="1">
        <f t="shared" si="1"/>
        <v>1.5710747265820492E+54</v>
      </c>
      <c r="Z22" s="1">
        <f t="shared" si="1"/>
        <v>-1.5036026155446154E+54</v>
      </c>
      <c r="AA22" s="1">
        <f t="shared" si="1"/>
        <v>1.5919227525625985E+54</v>
      </c>
      <c r="AB22" s="1">
        <f t="shared" si="1"/>
        <v>-1.8012710181787611E+54</v>
      </c>
      <c r="AC22" s="1">
        <f t="shared" si="1"/>
        <v>2.0903978676851209E+54</v>
      </c>
      <c r="AD22" s="1">
        <f t="shared" si="1"/>
        <v>-2.4119154042014107E+54</v>
      </c>
      <c r="AE22" s="1">
        <f t="shared" si="1"/>
        <v>2.7135162362309637E+54</v>
      </c>
      <c r="AF22" s="1">
        <f t="shared" si="1"/>
        <v>-2.9408888770074679E+54</v>
      </c>
      <c r="AG22" s="1">
        <f t="shared" si="1"/>
        <v>3.0425854744711441E+54</v>
      </c>
      <c r="AH22" s="1">
        <f t="shared" si="1"/>
        <v>-2.976388395053053E+54</v>
      </c>
      <c r="AI22" s="1">
        <f t="shared" si="1"/>
        <v>2.716063964628218E+54</v>
      </c>
      <c r="AJ22" s="1">
        <f t="shared" si="1"/>
        <v>-2.2569811037368282E+54</v>
      </c>
      <c r="AK22" s="1">
        <f t="shared" si="1"/>
        <v>1.6190577283082048E+54</v>
      </c>
      <c r="AL22" s="1">
        <f t="shared" si="1"/>
        <v>-8.4592627833333252E+53</v>
      </c>
    </row>
    <row r="23" spans="1:39" x14ac:dyDescent="0.25">
      <c r="H23" t="s">
        <v>11</v>
      </c>
      <c r="I23">
        <v>300</v>
      </c>
      <c r="J23">
        <f>-$C$10*((J20-I20)/$C$4)</f>
        <v>-4.3613655787468209E+57</v>
      </c>
      <c r="K23">
        <f t="shared" ref="K23:AL23" si="2">$C$10*((K20-J20)/$C$4)</f>
        <v>-1.270199953475689E+58</v>
      </c>
      <c r="L23">
        <f t="shared" si="2"/>
        <v>1.9951287347144567E+58</v>
      </c>
      <c r="M23">
        <f t="shared" si="2"/>
        <v>-2.5553960580545093E+58</v>
      </c>
      <c r="N23">
        <f t="shared" si="2"/>
        <v>2.9177924527251185E+58</v>
      </c>
      <c r="O23">
        <f t="shared" si="2"/>
        <v>-3.0741978907524523E+58</v>
      </c>
      <c r="P23">
        <f t="shared" si="2"/>
        <v>3.0400241548259156E+58</v>
      </c>
      <c r="Q23">
        <f t="shared" si="2"/>
        <v>-2.8490921874228621E+58</v>
      </c>
      <c r="R23">
        <f t="shared" si="2"/>
        <v>2.546375152628023E+58</v>
      </c>
      <c r="S23">
        <f t="shared" si="2"/>
        <v>-2.1802804962564741E+58</v>
      </c>
      <c r="T23">
        <f t="shared" si="2"/>
        <v>1.7959579166133525E+58</v>
      </c>
      <c r="U23">
        <f t="shared" si="2"/>
        <v>-1.4306194450109676E+58</v>
      </c>
      <c r="V23">
        <f t="shared" si="2"/>
        <v>1.1112244166986532E+58</v>
      </c>
      <c r="W23">
        <f t="shared" si="2"/>
        <v>-8.5429975910509115E+57</v>
      </c>
      <c r="X23">
        <f t="shared" si="2"/>
        <v>6.6726794643178064E+57</v>
      </c>
      <c r="Y23">
        <f t="shared" si="2"/>
        <v>-5.5049815254438027E+57</v>
      </c>
      <c r="Z23">
        <f t="shared" si="2"/>
        <v>4.993643983328779E+57</v>
      </c>
      <c r="AA23">
        <f t="shared" si="2"/>
        <v>-5.0582134065919039E+57</v>
      </c>
      <c r="AB23">
        <f t="shared" si="2"/>
        <v>5.5930633809583831E+57</v>
      </c>
      <c r="AC23">
        <f t="shared" si="2"/>
        <v>-6.4706193789399664E+57</v>
      </c>
      <c r="AD23">
        <f t="shared" si="2"/>
        <v>7.5418128628350196E+57</v>
      </c>
      <c r="AE23">
        <f t="shared" si="2"/>
        <v>-8.6377071684999608E+57</v>
      </c>
      <c r="AF23">
        <f t="shared" si="2"/>
        <v>9.575860449633978E+57</v>
      </c>
      <c r="AG23">
        <f t="shared" si="2"/>
        <v>-1.0173454037572637E+58</v>
      </c>
      <c r="AH23">
        <f t="shared" si="2"/>
        <v>1.0266904846677664E+58</v>
      </c>
      <c r="AI23">
        <f t="shared" si="2"/>
        <v>-9.7351921090537296E+57</v>
      </c>
      <c r="AJ23">
        <f t="shared" si="2"/>
        <v>8.5221592933655025E+57</v>
      </c>
      <c r="AK23">
        <f t="shared" si="2"/>
        <v>-6.6522345068299636E+57</v>
      </c>
      <c r="AL23">
        <f t="shared" si="2"/>
        <v>4.2347188615635212E+57</v>
      </c>
    </row>
  </sheetData>
  <conditionalFormatting sqref="I20:AM20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AM27"/>
  <sheetViews>
    <sheetView zoomScale="90" zoomScaleNormal="90" workbookViewId="0">
      <selection activeCell="N45" sqref="N45"/>
    </sheetView>
  </sheetViews>
  <sheetFormatPr defaultRowHeight="15" x14ac:dyDescent="0.25"/>
  <cols>
    <col min="3" max="3" width="9.5703125" bestFit="1" customWidth="1"/>
    <col min="9" max="9" width="11.7109375" bestFit="1" customWidth="1"/>
  </cols>
  <sheetData>
    <row r="3" spans="1:4" x14ac:dyDescent="0.25">
      <c r="B3" s="2" t="s">
        <v>0</v>
      </c>
      <c r="C3" s="2">
        <v>0.1</v>
      </c>
    </row>
    <row r="4" spans="1:4" x14ac:dyDescent="0.25">
      <c r="B4" s="2" t="s">
        <v>1</v>
      </c>
      <c r="C4" s="8">
        <f>C3/30</f>
        <v>3.3333333333333335E-3</v>
      </c>
    </row>
    <row r="5" spans="1:4" x14ac:dyDescent="0.25">
      <c r="B5" s="2" t="s">
        <v>2</v>
      </c>
      <c r="C5" s="11">
        <v>2</v>
      </c>
    </row>
    <row r="6" spans="1:4" x14ac:dyDescent="0.25">
      <c r="B6" s="2" t="s">
        <v>3</v>
      </c>
      <c r="C6" s="2">
        <v>60</v>
      </c>
      <c r="D6">
        <v>61</v>
      </c>
    </row>
    <row r="7" spans="1:4" x14ac:dyDescent="0.25">
      <c r="A7" s="6"/>
      <c r="B7" s="6"/>
      <c r="C7" s="6"/>
      <c r="D7" s="6"/>
    </row>
    <row r="8" spans="1:4" x14ac:dyDescent="0.25">
      <c r="B8" s="2" t="s">
        <v>4</v>
      </c>
      <c r="C8" s="2">
        <v>460</v>
      </c>
    </row>
    <row r="9" spans="1:4" x14ac:dyDescent="0.25">
      <c r="B9" s="2" t="s">
        <v>5</v>
      </c>
      <c r="C9" s="2">
        <v>7800</v>
      </c>
    </row>
    <row r="10" spans="1:4" x14ac:dyDescent="0.25">
      <c r="B10" s="2" t="s">
        <v>6</v>
      </c>
      <c r="C10" s="2">
        <v>46</v>
      </c>
    </row>
    <row r="11" spans="1:4" x14ac:dyDescent="0.25">
      <c r="A11" s="6"/>
      <c r="B11" s="6"/>
      <c r="C11" s="6"/>
      <c r="D11" s="6"/>
    </row>
    <row r="12" spans="1:4" x14ac:dyDescent="0.25">
      <c r="A12" s="6"/>
      <c r="B12" s="6"/>
      <c r="C12" s="6"/>
      <c r="D12" s="6"/>
    </row>
    <row r="13" spans="1:4" x14ac:dyDescent="0.25">
      <c r="A13" s="6"/>
      <c r="B13" s="6"/>
      <c r="C13" s="6"/>
      <c r="D13" s="6"/>
    </row>
    <row r="14" spans="1:4" x14ac:dyDescent="0.25">
      <c r="A14" s="6"/>
      <c r="B14" s="6"/>
      <c r="C14" s="6"/>
      <c r="D14" s="6"/>
    </row>
    <row r="15" spans="1:4" x14ac:dyDescent="0.25">
      <c r="A15" s="6"/>
      <c r="B15" s="6"/>
      <c r="C15" s="6"/>
      <c r="D15" s="6"/>
    </row>
    <row r="16" spans="1:4" x14ac:dyDescent="0.25">
      <c r="A16" s="6"/>
      <c r="B16" s="6"/>
      <c r="C16" s="6"/>
      <c r="D16" s="6"/>
    </row>
    <row r="17" spans="1:39" x14ac:dyDescent="0.25">
      <c r="A17" s="6"/>
      <c r="B17" s="6"/>
      <c r="C17" s="6"/>
      <c r="D17" s="6"/>
    </row>
    <row r="18" spans="1:39" x14ac:dyDescent="0.25">
      <c r="A18" s="6"/>
      <c r="B18" s="6"/>
      <c r="C18" s="6"/>
      <c r="D18" s="6"/>
      <c r="H18" s="2"/>
      <c r="I18" s="3">
        <v>1</v>
      </c>
      <c r="J18" s="3">
        <v>2</v>
      </c>
      <c r="K18" s="3">
        <v>3</v>
      </c>
      <c r="L18" s="3">
        <v>4</v>
      </c>
      <c r="M18" s="3">
        <v>5</v>
      </c>
      <c r="N18" s="3">
        <v>6</v>
      </c>
      <c r="O18" s="3">
        <v>7</v>
      </c>
      <c r="P18" s="3">
        <v>8</v>
      </c>
      <c r="Q18" s="3">
        <v>9</v>
      </c>
      <c r="R18" s="3">
        <v>10</v>
      </c>
      <c r="S18" s="3">
        <v>11</v>
      </c>
      <c r="T18" s="3">
        <v>12</v>
      </c>
      <c r="U18" s="3">
        <v>13</v>
      </c>
      <c r="V18" s="3">
        <v>14</v>
      </c>
      <c r="W18" s="3">
        <v>15</v>
      </c>
      <c r="X18" s="3">
        <v>16</v>
      </c>
      <c r="Y18" s="3">
        <v>17</v>
      </c>
      <c r="Z18" s="3">
        <v>18</v>
      </c>
      <c r="AA18" s="3">
        <v>19</v>
      </c>
      <c r="AB18" s="3">
        <v>20</v>
      </c>
      <c r="AC18" s="3">
        <v>21</v>
      </c>
      <c r="AD18" s="3">
        <v>22</v>
      </c>
      <c r="AE18" s="3">
        <v>23</v>
      </c>
      <c r="AF18" s="3">
        <v>24</v>
      </c>
      <c r="AG18" s="3">
        <v>25</v>
      </c>
      <c r="AH18" s="3">
        <v>26</v>
      </c>
      <c r="AI18" s="3">
        <v>27</v>
      </c>
      <c r="AJ18" s="3">
        <v>28</v>
      </c>
      <c r="AK18" s="3">
        <v>29</v>
      </c>
      <c r="AL18" s="3">
        <v>30</v>
      </c>
      <c r="AM18" s="3">
        <v>31</v>
      </c>
    </row>
    <row r="19" spans="1:39" x14ac:dyDescent="0.25">
      <c r="B19" s="2" t="s">
        <v>8</v>
      </c>
      <c r="C19" s="2">
        <v>300</v>
      </c>
      <c r="H19" s="2" t="s">
        <v>0</v>
      </c>
      <c r="I19" s="4">
        <v>0</v>
      </c>
      <c r="J19" s="4">
        <f>I19+$C$4</f>
        <v>3.3333333333333335E-3</v>
      </c>
      <c r="K19" s="4">
        <f t="shared" ref="K19:AM19" si="0">J19+$C$4</f>
        <v>6.6666666666666671E-3</v>
      </c>
      <c r="L19" s="4">
        <f t="shared" si="0"/>
        <v>0.01</v>
      </c>
      <c r="M19" s="4">
        <f t="shared" si="0"/>
        <v>1.3333333333333334E-2</v>
      </c>
      <c r="N19" s="4">
        <f t="shared" si="0"/>
        <v>1.6666666666666666E-2</v>
      </c>
      <c r="O19" s="4">
        <f t="shared" si="0"/>
        <v>0.02</v>
      </c>
      <c r="P19" s="4">
        <f t="shared" si="0"/>
        <v>2.3333333333333334E-2</v>
      </c>
      <c r="Q19" s="4">
        <f t="shared" si="0"/>
        <v>2.6666666666666668E-2</v>
      </c>
      <c r="R19" s="4">
        <f t="shared" si="0"/>
        <v>3.0000000000000002E-2</v>
      </c>
      <c r="S19" s="4">
        <f t="shared" si="0"/>
        <v>3.3333333333333333E-2</v>
      </c>
      <c r="T19" s="4">
        <f t="shared" si="0"/>
        <v>3.6666666666666667E-2</v>
      </c>
      <c r="U19" s="4">
        <f t="shared" si="0"/>
        <v>0.04</v>
      </c>
      <c r="V19" s="4">
        <f t="shared" si="0"/>
        <v>4.3333333333333335E-2</v>
      </c>
      <c r="W19" s="4">
        <f t="shared" si="0"/>
        <v>4.6666666666666669E-2</v>
      </c>
      <c r="X19" s="4">
        <f t="shared" si="0"/>
        <v>0.05</v>
      </c>
      <c r="Y19" s="4">
        <f t="shared" si="0"/>
        <v>5.3333333333333337E-2</v>
      </c>
      <c r="Z19" s="4">
        <f t="shared" si="0"/>
        <v>5.6666666666666671E-2</v>
      </c>
      <c r="AA19" s="4">
        <f t="shared" si="0"/>
        <v>6.0000000000000005E-2</v>
      </c>
      <c r="AB19" s="4">
        <f t="shared" si="0"/>
        <v>6.3333333333333339E-2</v>
      </c>
      <c r="AC19" s="4">
        <f t="shared" si="0"/>
        <v>6.6666666666666666E-2</v>
      </c>
      <c r="AD19" s="4">
        <f t="shared" si="0"/>
        <v>6.9999999999999993E-2</v>
      </c>
      <c r="AE19" s="4">
        <f t="shared" si="0"/>
        <v>7.333333333333332E-2</v>
      </c>
      <c r="AF19" s="4">
        <f t="shared" si="0"/>
        <v>7.6666666666666647E-2</v>
      </c>
      <c r="AG19" s="4">
        <f t="shared" si="0"/>
        <v>7.9999999999999974E-2</v>
      </c>
      <c r="AH19" s="4">
        <f t="shared" si="0"/>
        <v>8.3333333333333301E-2</v>
      </c>
      <c r="AI19" s="4">
        <f t="shared" si="0"/>
        <v>8.6666666666666628E-2</v>
      </c>
      <c r="AJ19" s="4">
        <f t="shared" si="0"/>
        <v>8.9999999999999955E-2</v>
      </c>
      <c r="AK19" s="4">
        <f t="shared" si="0"/>
        <v>9.3333333333333282E-2</v>
      </c>
      <c r="AL19" s="4">
        <f t="shared" si="0"/>
        <v>9.6666666666666609E-2</v>
      </c>
      <c r="AM19" s="4">
        <f t="shared" si="0"/>
        <v>9.9999999999999936E-2</v>
      </c>
    </row>
    <row r="20" spans="1:39" x14ac:dyDescent="0.25">
      <c r="B20" s="2" t="s">
        <v>9</v>
      </c>
      <c r="C20" s="2">
        <v>100</v>
      </c>
      <c r="H20" t="s">
        <v>7</v>
      </c>
      <c r="I20" s="1">
        <f>C19</f>
        <v>300</v>
      </c>
      <c r="J20" s="1">
        <v>287.1925580024872</v>
      </c>
      <c r="K20" s="1">
        <v>274.45389945090841</v>
      </c>
      <c r="L20" s="1">
        <v>261.85198771975558</v>
      </c>
      <c r="M20" s="1">
        <v>249.45315800297954</v>
      </c>
      <c r="N20" s="1">
        <v>237.32133286127006</v>
      </c>
      <c r="O20" s="1">
        <v>225.51727259277288</v>
      </c>
      <c r="P20" s="1">
        <v>214.09787082745635</v>
      </c>
      <c r="Q20" s="1">
        <v>203.11550476569897</v>
      </c>
      <c r="R20" s="1">
        <v>192.61744832326787</v>
      </c>
      <c r="S20" s="1">
        <v>182.64535514710548</v>
      </c>
      <c r="T20" s="1">
        <v>173.23481707220088</v>
      </c>
      <c r="U20" s="1">
        <v>164.41500214384996</v>
      </c>
      <c r="V20" s="1">
        <v>156.20837487605183</v>
      </c>
      <c r="W20" s="1">
        <v>148.63049999768077</v>
      </c>
      <c r="X20" s="1">
        <v>141.68992959160192</v>
      </c>
      <c r="Y20" s="1">
        <v>135.38817229098748</v>
      </c>
      <c r="Z20" s="1">
        <v>129.7197420882992</v>
      </c>
      <c r="AA20" s="1">
        <v>124.67228335523129</v>
      </c>
      <c r="AB20" s="1">
        <v>120.22676787840741</v>
      </c>
      <c r="AC20" s="1">
        <v>116.35775909043107</v>
      </c>
      <c r="AD20" s="1">
        <v>113.03373821655737</v>
      </c>
      <c r="AE20" s="1">
        <v>110.2174867549019</v>
      </c>
      <c r="AF20" s="1">
        <v>107.86651954830063</v>
      </c>
      <c r="AG20" s="1">
        <v>105.93356266975184</v>
      </c>
      <c r="AH20" s="1">
        <v>104.36707040857154</v>
      </c>
      <c r="AI20" s="1">
        <v>103.11177578665178</v>
      </c>
      <c r="AJ20" s="1">
        <v>102.10926922835259</v>
      </c>
      <c r="AK20" s="1">
        <v>101.29860022873005</v>
      </c>
      <c r="AL20" s="1">
        <v>100.61689708957026</v>
      </c>
      <c r="AM20" s="1">
        <f>C20</f>
        <v>100</v>
      </c>
    </row>
    <row r="22" spans="1:39" x14ac:dyDescent="0.25">
      <c r="H22" t="s">
        <v>10</v>
      </c>
      <c r="J22" s="10">
        <f t="shared" ref="J22" si="1">J25*K22+J26</f>
        <v>287.34706175740996</v>
      </c>
      <c r="K22" s="10">
        <f t="shared" ref="K22" si="2">K25*L22+K26</f>
        <v>274.76107514195303</v>
      </c>
      <c r="L22" s="10">
        <f t="shared" ref="L22" si="3">L25*M22+L26</f>
        <v>262.30819799261553</v>
      </c>
      <c r="M22" s="10">
        <f t="shared" ref="M22" si="4">M25*N22+M26</f>
        <v>250.05301196151726</v>
      </c>
      <c r="N22" s="10">
        <f t="shared" ref="N22" si="5">N25*O22+N26</f>
        <v>238.05776264578537</v>
      </c>
      <c r="O22" s="10">
        <f t="shared" ref="O22" si="6">O25*P22+O26</f>
        <v>226.38163290334353</v>
      </c>
      <c r="P22" s="10">
        <f t="shared" ref="P22" si="7">P25*Q22+P26</f>
        <v>215.08005929548236</v>
      </c>
      <c r="Q22" s="10">
        <f t="shared" ref="Q22" si="8">Q25*R22+Q26</f>
        <v>204.2041006904324</v>
      </c>
      <c r="R22" s="10">
        <f t="shared" ref="R22" si="9">R25*S22+R26</f>
        <v>193.79986698610031</v>
      </c>
      <c r="S22" s="10">
        <f t="shared" ref="S22" si="10">S25*T22+S26</f>
        <v>183.9080147023289</v>
      </c>
      <c r="T22" s="10">
        <f t="shared" ref="T22" si="11">T25*U22+T26</f>
        <v>174.5633148924876</v>
      </c>
      <c r="U22" s="10">
        <f t="shared" ref="U22" si="12">U25*V22+U26</f>
        <v>165.79429747143723</v>
      </c>
      <c r="V22" s="10">
        <f t="shared" ref="V22" si="13">V25*W22+V26</f>
        <v>157.62297469234139</v>
      </c>
      <c r="W22" s="10">
        <f t="shared" ref="W22" si="14">W25*X22+W26</f>
        <v>150.06464516697102</v>
      </c>
      <c r="X22" s="10">
        <f t="shared" ref="X22" si="15">X25*Y22+X26</f>
        <v>143.12777854829309</v>
      </c>
      <c r="Y22" s="10">
        <f t="shared" ref="Y22" si="16">Y25*Z22+Y26</f>
        <v>136.813979810848</v>
      </c>
      <c r="Z22" s="10">
        <f t="shared" ref="Z22" si="17">Z25*AA22+Z26</f>
        <v>131.11803099867578</v>
      </c>
      <c r="AA22" s="10">
        <f t="shared" ref="AA22" si="18">AA25*AB22+AA26</f>
        <v>126.02800738100007</v>
      </c>
      <c r="AB22" s="10">
        <f t="shared" ref="AB22" si="19">AB25*AC22+AB26</f>
        <v>121.52546417449084</v>
      </c>
      <c r="AC22" s="10">
        <f t="shared" ref="AC22" si="20">AC25*AD22+AC26</f>
        <v>117.58568936295106</v>
      </c>
      <c r="AD22" s="10">
        <f t="shared" ref="AD22" si="21">AD25*AE22+AD26</f>
        <v>114.17801766950328</v>
      </c>
      <c r="AE22" s="10">
        <f t="shared" ref="AE22" si="22">AE25*AF22+AE26</f>
        <v>111.26620040566539</v>
      </c>
      <c r="AF22" s="10">
        <f t="shared" ref="AF22" si="23">AF25*AG22+AF26</f>
        <v>108.80882572382498</v>
      </c>
      <c r="AG22" s="10">
        <f t="shared" ref="AG22" si="24">AG25*AH22+AG26</f>
        <v>106.7597837180451</v>
      </c>
      <c r="AH22" s="10">
        <f t="shared" ref="AH22" si="25">AH25*AI22+AH26</f>
        <v>105.06877083319232</v>
      </c>
      <c r="AI22" s="10">
        <f t="shared" ref="AI22" si="26">AI25*AJ22+AI26</f>
        <v>103.68182813234188</v>
      </c>
      <c r="AJ22" s="10">
        <f t="shared" ref="AJ22" si="27">AJ25*AK22+AJ26</f>
        <v>102.54190811462379</v>
      </c>
      <c r="AK22" s="10">
        <f t="shared" ref="AK22" si="28">AK25*AL22+AK26</f>
        <v>101.58946494762324</v>
      </c>
      <c r="AL22" s="10">
        <f t="shared" ref="AL22" si="29">AL25*AM22+AL26</f>
        <v>100.76306315880973</v>
      </c>
      <c r="AM22" s="1">
        <f>AM20</f>
        <v>100</v>
      </c>
    </row>
    <row r="23" spans="1:39" x14ac:dyDescent="0.25">
      <c r="B23" s="1" t="s">
        <v>12</v>
      </c>
      <c r="C23" s="7">
        <f>C10/(C4^2)</f>
        <v>4139999.9999999991</v>
      </c>
      <c r="H23" t="s">
        <v>11</v>
      </c>
      <c r="I23">
        <v>300</v>
      </c>
      <c r="J23">
        <f>-$C$10*((J20-I20)/$C$4)</f>
        <v>176742.69956567656</v>
      </c>
      <c r="K23">
        <f t="shared" ref="K23:AM23" si="30">-$C$10*((K20-J20)/$C$4)</f>
        <v>175793.48801178735</v>
      </c>
      <c r="L23">
        <f t="shared" si="30"/>
        <v>173906.38188990898</v>
      </c>
      <c r="M23">
        <f t="shared" ref="M23:S23" si="31">-$C$10*((M20-L20)/$C$4)</f>
        <v>171103.85009150946</v>
      </c>
      <c r="N23">
        <f t="shared" si="31"/>
        <v>167419.18695559067</v>
      </c>
      <c r="O23">
        <f t="shared" si="31"/>
        <v>162896.03170526109</v>
      </c>
      <c r="P23">
        <f t="shared" si="31"/>
        <v>157587.74436136818</v>
      </c>
      <c r="Q23">
        <f t="shared" si="31"/>
        <v>151556.65165225178</v>
      </c>
      <c r="R23">
        <f t="shared" si="31"/>
        <v>144873.17890554928</v>
      </c>
      <c r="S23">
        <f t="shared" si="31"/>
        <v>137614.88583104097</v>
      </c>
      <c r="T23">
        <f t="shared" si="30"/>
        <v>129865.42543368338</v>
      </c>
      <c r="U23">
        <f t="shared" si="30"/>
        <v>121713.44601124272</v>
      </c>
      <c r="V23">
        <f t="shared" si="30"/>
        <v>113251.45629561415</v>
      </c>
      <c r="W23">
        <f t="shared" si="30"/>
        <v>104574.67332152066</v>
      </c>
      <c r="X23">
        <f t="shared" si="30"/>
        <v>95779.871603888096</v>
      </c>
      <c r="Y23">
        <f t="shared" si="30"/>
        <v>86964.250748479259</v>
      </c>
      <c r="Z23">
        <f t="shared" si="30"/>
        <v>78224.336797098324</v>
      </c>
      <c r="AA23">
        <f t="shared" si="30"/>
        <v>69654.93051633719</v>
      </c>
      <c r="AB23">
        <f t="shared" si="30"/>
        <v>61348.113580169418</v>
      </c>
      <c r="AC23">
        <f t="shared" si="30"/>
        <v>53392.321274073496</v>
      </c>
      <c r="AD23">
        <f t="shared" si="30"/>
        <v>45871.488059457144</v>
      </c>
      <c r="AE23">
        <f t="shared" si="30"/>
        <v>38864.27017084547</v>
      </c>
      <c r="AF23">
        <f t="shared" si="30"/>
        <v>32443.347451097503</v>
      </c>
      <c r="AG23">
        <f t="shared" si="30"/>
        <v>26674.804923973352</v>
      </c>
      <c r="AH23">
        <f t="shared" si="30"/>
        <v>21617.593204288147</v>
      </c>
      <c r="AI23">
        <f t="shared" si="30"/>
        <v>17323.065782492678</v>
      </c>
      <c r="AJ23">
        <f t="shared" si="30"/>
        <v>13834.590504528802</v>
      </c>
      <c r="AK23">
        <f t="shared" si="30"/>
        <v>11187.23219479099</v>
      </c>
      <c r="AL23">
        <f t="shared" si="30"/>
        <v>9407.5033204051524</v>
      </c>
      <c r="AM23">
        <f t="shared" si="30"/>
        <v>8513.1798360695684</v>
      </c>
    </row>
    <row r="24" spans="1:39" x14ac:dyDescent="0.25">
      <c r="B24" s="1" t="s">
        <v>13</v>
      </c>
      <c r="C24" s="7">
        <f>(2*C10)/(C4^2)+(C9*C8)/C5</f>
        <v>10073999.999999998</v>
      </c>
    </row>
    <row r="25" spans="1:39" x14ac:dyDescent="0.25">
      <c r="B25" s="1" t="s">
        <v>14</v>
      </c>
      <c r="C25" s="7">
        <f>C23</f>
        <v>4139999.9999999991</v>
      </c>
      <c r="H25" s="1" t="s">
        <v>15</v>
      </c>
      <c r="I25">
        <v>0</v>
      </c>
      <c r="J25">
        <f>$C$23/($C$24-$C$25*I25)</f>
        <v>0.41095890410958902</v>
      </c>
      <c r="K25" s="9">
        <f t="shared" ref="K25" si="32">$C$23/($C$24-$C$25*J25)</f>
        <v>0.49446827726349057</v>
      </c>
      <c r="L25" s="9">
        <f t="shared" ref="L25" si="33">$C$23/($C$24-$C$25*K25)</f>
        <v>0.51576565211146774</v>
      </c>
      <c r="M25" s="9">
        <f t="shared" ref="M25" si="34">$C$23/($C$24-$C$25*L25)</f>
        <v>0.52149397895713612</v>
      </c>
      <c r="N25" s="9">
        <f t="shared" ref="N25" si="35">$C$23/($C$24-$C$25*M25)</f>
        <v>0.52305649933975962</v>
      </c>
      <c r="O25" s="9">
        <f t="shared" ref="O25" si="36">$C$23/($C$24-$C$25*N25)</f>
        <v>0.52348433598989241</v>
      </c>
      <c r="P25" s="9">
        <f t="shared" ref="P25" si="37">$C$23/($C$24-$C$25*O25)</f>
        <v>0.52360160483419294</v>
      </c>
      <c r="Q25" s="9">
        <f t="shared" ref="Q25" si="38">$C$23/($C$24-$C$25*P25)</f>
        <v>0.52363375707534621</v>
      </c>
      <c r="R25" s="9">
        <f t="shared" ref="R25" si="39">$C$23/($C$24-$C$25*Q25)</f>
        <v>0.52364257312109652</v>
      </c>
      <c r="S25" s="9">
        <f t="shared" ref="S25" si="40">$C$23/($C$24-$C$25*R25)</f>
        <v>0.5236449905056163</v>
      </c>
      <c r="T25" s="9">
        <f t="shared" ref="T25" si="41">$C$23/($C$24-$C$25*S25)</f>
        <v>0.52364565336314417</v>
      </c>
      <c r="U25" s="9">
        <f t="shared" ref="U25" si="42">$C$23/($C$24-$C$25*T25)</f>
        <v>0.52364583512190344</v>
      </c>
      <c r="V25" s="9">
        <f t="shared" ref="V25" si="43">$C$23/($C$24-$C$25*U25)</f>
        <v>0.52364588496106157</v>
      </c>
      <c r="W25" s="9">
        <f t="shared" ref="W25" si="44">$C$23/($C$24-$C$25*V25)</f>
        <v>0.52364589862720901</v>
      </c>
      <c r="X25" s="9">
        <f t="shared" ref="X25" si="45">$C$23/($C$24-$C$25*W25)</f>
        <v>0.52364590237453534</v>
      </c>
      <c r="Y25" s="9">
        <f t="shared" ref="Y25" si="46">$C$23/($C$24-$C$25*X25)</f>
        <v>0.52364590340207107</v>
      </c>
      <c r="Z25" s="9">
        <f t="shared" ref="Z25" si="47">$C$23/($C$24-$C$25*Y25)</f>
        <v>0.52364590368382657</v>
      </c>
      <c r="AA25" s="9">
        <f t="shared" ref="AA25" si="48">$C$23/($C$24-$C$25*Z25)</f>
        <v>0.52364590376108522</v>
      </c>
      <c r="AB25" s="9">
        <f t="shared" ref="AB25" si="49">$C$23/($C$24-$C$25*AA25)</f>
        <v>0.52364590378227005</v>
      </c>
      <c r="AC25" s="9">
        <f t="shared" ref="AC25" si="50">$C$23/($C$24-$C$25*AB25)</f>
        <v>0.52364590378807896</v>
      </c>
      <c r="AD25" s="9">
        <f t="shared" ref="AD25" si="51">$C$23/($C$24-$C$25*AC25)</f>
        <v>0.5236459037896718</v>
      </c>
      <c r="AE25" s="9">
        <f t="shared" ref="AE25" si="52">$C$23/($C$24-$C$25*AD25)</f>
        <v>0.52364590379010867</v>
      </c>
      <c r="AF25" s="9">
        <f t="shared" ref="AF25" si="53">$C$23/($C$24-$C$25*AE25)</f>
        <v>0.52364590379022846</v>
      </c>
      <c r="AG25" s="9">
        <f t="shared" ref="AG25" si="54">$C$23/($C$24-$C$25*AF25)</f>
        <v>0.52364590379026121</v>
      </c>
      <c r="AH25" s="9">
        <f t="shared" ref="AH25" si="55">$C$23/($C$24-$C$25*AG25)</f>
        <v>0.52364590379027021</v>
      </c>
      <c r="AI25" s="9">
        <f t="shared" ref="AI25" si="56">$C$23/($C$24-$C$25*AH25)</f>
        <v>0.52364590379027265</v>
      </c>
      <c r="AJ25" s="9">
        <f t="shared" ref="AJ25" si="57">$C$23/($C$24-$C$25*AI25)</f>
        <v>0.52364590379027331</v>
      </c>
      <c r="AK25" s="9">
        <f t="shared" ref="AK25" si="58">$C$23/($C$24-$C$25*AJ25)</f>
        <v>0.52364590379027354</v>
      </c>
      <c r="AL25" s="9">
        <f t="shared" ref="AL25" si="59">$C$23/($C$24-$C$25*AK25)</f>
        <v>0.52364590379027354</v>
      </c>
    </row>
    <row r="26" spans="1:39" x14ac:dyDescent="0.25">
      <c r="H26" s="1" t="s">
        <v>16</v>
      </c>
      <c r="I26">
        <f>I20</f>
        <v>300</v>
      </c>
      <c r="J26">
        <f>(I26*$C$25-J27)/($C$24-$C$25*I25)</f>
        <v>174.43155142510048</v>
      </c>
      <c r="K26">
        <f t="shared" ref="K26:U26" si="60">(J26*$C$25-K27)/($C$24-$C$25*J25)</f>
        <v>145.05799236845382</v>
      </c>
      <c r="L26" s="9">
        <f t="shared" si="60"/>
        <v>133.3394432158469</v>
      </c>
      <c r="M26" s="9">
        <f t="shared" si="60"/>
        <v>125.90732209773316</v>
      </c>
      <c r="N26" s="9">
        <f t="shared" ref="N26" si="61">(M26*$C$25-N27)/($C$24-$C$25*M25)</f>
        <v>119.64737822454398</v>
      </c>
      <c r="O26" s="9">
        <f t="shared" ref="O26" si="62">(N26*$C$25-O27)/($C$24-$C$25*N25)</f>
        <v>113.79059087838128</v>
      </c>
      <c r="P26" s="9">
        <f t="shared" ref="P26" si="63">(O26*$C$25-P27)/($C$24-$C$25*O25)</f>
        <v>108.15846446024882</v>
      </c>
      <c r="Q26" s="9">
        <f t="shared" ref="Q26" si="64">(P26*$C$25-Q27)/($C$24-$C$25*P25)</f>
        <v>102.72394821979834</v>
      </c>
      <c r="R26" s="9">
        <f t="shared" ref="R26" si="65">(Q26*$C$25-R27)/($C$24-$C$25*Q25)</f>
        <v>97.497800949780355</v>
      </c>
      <c r="S26" s="9">
        <f t="shared" ref="S26" si="66">(R26*$C$25-S27)/($C$24-$C$25*R25)</f>
        <v>92.498809332823313</v>
      </c>
      <c r="T26" s="9">
        <f t="shared" ref="T26" si="67">(S26*$C$25-T27)/($C$24-$C$25*S25)</f>
        <v>87.745851669173376</v>
      </c>
      <c r="U26" s="7">
        <f t="shared" si="60"/>
        <v>83.255683254267495</v>
      </c>
      <c r="V26" s="7">
        <f t="shared" ref="V26" si="68">(U26*$C$25-V27)/($C$24-$C$25*U25)</f>
        <v>79.042240772515157</v>
      </c>
      <c r="W26" s="7">
        <f t="shared" ref="W26" si="69">(V26*$C$25-W27)/($C$24-$C$25*V25)</f>
        <v>75.11637095053392</v>
      </c>
      <c r="X26" s="7">
        <f t="shared" ref="X26" si="70">(W26*$C$25-X27)/($C$24-$C$25*W25)</f>
        <v>71.485698632790132</v>
      </c>
      <c r="Y26" s="7">
        <f t="shared" ref="Y26" si="71">(X26*$C$25-Y27)/($C$24-$C$25*X25)</f>
        <v>68.154560016245654</v>
      </c>
      <c r="Z26" s="7">
        <f t="shared" ref="Z26" si="72">(Y26*$C$25-Z27)/($C$24-$C$25*Y25)</f>
        <v>65.123981184180039</v>
      </c>
      <c r="AA26" s="7">
        <f t="shared" ref="AA26" si="73">(Z26*$C$25-AA27)/($C$24-$C$25*Z25)</f>
        <v>62.391695863363424</v>
      </c>
      <c r="AB26" s="7">
        <f t="shared" ref="AB26" si="74">(AA26*$C$25-AB27)/($C$24-$C$25*AA25)</f>
        <v>59.95219959616707</v>
      </c>
      <c r="AC26" s="7">
        <f t="shared" ref="AC26" si="75">(AB26*$C$25-AC27)/($C$24-$C$25*AB25)</f>
        <v>57.796838107672755</v>
      </c>
      <c r="AD26" s="7">
        <f t="shared" ref="AD26" si="76">(AC26*$C$25-AD27)/($C$24-$C$25*AC25)</f>
        <v>55.913927596835876</v>
      </c>
      <c r="AE26" s="7">
        <f t="shared" ref="AE26" si="77">(AD26*$C$25-AE27)/($C$24-$C$25*AD25)</f>
        <v>54.288904519172632</v>
      </c>
      <c r="AF26" s="7">
        <f t="shared" ref="AF26" si="78">(AE26*$C$25-AF27)/($C$24-$C$25*AE25)</f>
        <v>52.904502290339934</v>
      </c>
      <c r="AG26" s="7">
        <f t="shared" ref="AG26" si="79">(AF26*$C$25-AG27)/($C$24-$C$25*AF25)</f>
        <v>51.740952254966274</v>
      </c>
      <c r="AH26" s="7">
        <f t="shared" ref="AH26" si="80">(AG26*$C$25-AH27)/($C$24-$C$25*AG25)</f>
        <v>50.776206234204693</v>
      </c>
      <c r="AI26" s="7">
        <f t="shared" ref="AI26" si="81">(AH26*$C$25-AI27)/($C$24-$C$25*AH25)</f>
        <v>49.986177981280598</v>
      </c>
      <c r="AJ26" s="7">
        <f t="shared" ref="AJ26" si="82">(AI26*$C$25-AJ27)/($C$24-$C$25*AI25)</f>
        <v>49.345000926555329</v>
      </c>
      <c r="AK26" s="7">
        <f t="shared" ref="AK26" si="83">(AJ26*$C$25-AK27)/($C$24-$C$25*AJ25)</f>
        <v>48.82529967115191</v>
      </c>
      <c r="AL26" s="7">
        <f t="shared" ref="AL26" si="84">(AK26*$C$25-AL27)/($C$24-$C$25*AK25)</f>
        <v>48.398472779782381</v>
      </c>
    </row>
    <row r="27" spans="1:39" x14ac:dyDescent="0.25">
      <c r="H27" s="1" t="s">
        <v>17</v>
      </c>
      <c r="I27">
        <f>-(($C$9*$C$8)/$C$5)*I20</f>
        <v>-538200000</v>
      </c>
      <c r="J27">
        <f t="shared" ref="J27:AL27" si="85">-(($C$9*$C$8)/$C$5)*J20</f>
        <v>-515223449.05646205</v>
      </c>
      <c r="K27">
        <f t="shared" si="85"/>
        <v>-492370295.61492968</v>
      </c>
      <c r="L27">
        <f t="shared" si="85"/>
        <v>-469762465.9692415</v>
      </c>
      <c r="M27">
        <f t="shared" ref="M27:R27" si="86">-(($C$9*$C$8)/$C$5)*M20</f>
        <v>-447518965.45734531</v>
      </c>
      <c r="N27">
        <f t="shared" si="86"/>
        <v>-425754471.15311849</v>
      </c>
      <c r="O27">
        <f t="shared" si="86"/>
        <v>-404577987.03143454</v>
      </c>
      <c r="P27">
        <f t="shared" si="86"/>
        <v>-384091580.26445669</v>
      </c>
      <c r="Q27">
        <f t="shared" si="86"/>
        <v>-364389215.54966396</v>
      </c>
      <c r="R27">
        <f t="shared" si="86"/>
        <v>-345555702.29194254</v>
      </c>
      <c r="S27">
        <f t="shared" si="85"/>
        <v>-327665767.1339072</v>
      </c>
      <c r="T27">
        <f t="shared" si="85"/>
        <v>-310783261.82752836</v>
      </c>
      <c r="U27">
        <f t="shared" si="85"/>
        <v>-294960513.84606683</v>
      </c>
      <c r="V27">
        <f t="shared" si="85"/>
        <v>-280237824.527637</v>
      </c>
      <c r="W27">
        <f t="shared" si="85"/>
        <v>-266643116.9958393</v>
      </c>
      <c r="X27">
        <f t="shared" si="85"/>
        <v>-254191733.68733385</v>
      </c>
      <c r="Y27">
        <f t="shared" si="85"/>
        <v>-242886381.09003153</v>
      </c>
      <c r="Z27">
        <f t="shared" si="85"/>
        <v>-232717217.30640876</v>
      </c>
      <c r="AA27">
        <f t="shared" si="85"/>
        <v>-223662076.33928493</v>
      </c>
      <c r="AB27">
        <f t="shared" si="85"/>
        <v>-215686821.57386291</v>
      </c>
      <c r="AC27">
        <f t="shared" si="85"/>
        <v>-208745819.80823335</v>
      </c>
      <c r="AD27">
        <f t="shared" si="85"/>
        <v>-202782526.36050391</v>
      </c>
      <c r="AE27">
        <f t="shared" si="85"/>
        <v>-197730171.23829401</v>
      </c>
      <c r="AF27">
        <f t="shared" si="85"/>
        <v>-193512536.06965134</v>
      </c>
      <c r="AG27">
        <f t="shared" si="85"/>
        <v>-190044811.42953479</v>
      </c>
      <c r="AH27">
        <f t="shared" si="85"/>
        <v>-187234524.31297734</v>
      </c>
      <c r="AI27">
        <f t="shared" si="85"/>
        <v>-184982525.7612533</v>
      </c>
      <c r="AJ27">
        <f t="shared" si="85"/>
        <v>-183184028.99566454</v>
      </c>
      <c r="AK27">
        <f t="shared" si="85"/>
        <v>-181729688.81034172</v>
      </c>
      <c r="AL27">
        <f t="shared" si="85"/>
        <v>-180506713.37868905</v>
      </c>
    </row>
  </sheetData>
  <conditionalFormatting sqref="I20:AM20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Явный вид</vt:lpstr>
      <vt:lpstr>Неявный вид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Данила Дедушев</dc:creator>
  <cp:lastModifiedBy>Данила Дедушев</cp:lastModifiedBy>
  <dcterms:created xsi:type="dcterms:W3CDTF">2021-09-15T09:15:42Z</dcterms:created>
  <dcterms:modified xsi:type="dcterms:W3CDTF">2021-10-20T18:44:41Z</dcterms:modified>
</cp:coreProperties>
</file>